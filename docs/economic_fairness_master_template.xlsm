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Matt\Documents\economic-fairness-gla\docs\"/>
    </mc:Choice>
  </mc:AlternateContent>
  <xr:revisionPtr revIDLastSave="0" documentId="8_{D60F4D2D-2725-4BB5-A732-AD8667193253}" xr6:coauthVersionLast="47" xr6:coauthVersionMax="47" xr10:uidLastSave="{00000000-0000-0000-0000-000000000000}"/>
  <bookViews>
    <workbookView xWindow="-110" yWindow="-110" windowWidth="19420" windowHeight="10300" firstSheet="26" activeTab="28" xr2:uid="{BE84C106-23FA-48DF-B10C-38C47EA4842D}"/>
  </bookViews>
  <sheets>
    <sheet name="Index" sheetId="1" r:id="rId1"/>
    <sheet name="Labour Market" sheetId="2" r:id="rId2"/>
    <sheet name="Narrowing Pay Gaps" sheetId="3" r:id="rId3"/>
    <sheet name="Gender Pay Gap" sheetId="4" r:id="rId4"/>
    <sheet name="Total (1_1_1_a)" sheetId="9" r:id="rId5"/>
    <sheet name="Part Time-Full Time (1_1_1_b)" sheetId="10" r:id="rId6"/>
    <sheet name="Ethnicity Pay Gap" sheetId="6" r:id="rId7"/>
    <sheet name="Total (1_1_2_a)" sheetId="11" r:id="rId8"/>
    <sheet name="Ethnic Group (1_1_2_b)" sheetId="15" r:id="rId9"/>
    <sheet name="Disability Pay Gap" sheetId="7" r:id="rId10"/>
    <sheet name="Total (1_1_3_a)" sheetId="16" r:id="rId11"/>
    <sheet name="Pay Ratio" sheetId="8" r:id="rId12"/>
    <sheet name="Total (1_1_4_a)" sheetId="18" r:id="rId13"/>
    <sheet name="GLA group (1_1_4_b)" sheetId="19" r:id="rId14"/>
    <sheet name="Fair Employment" sheetId="20" r:id="rId15"/>
    <sheet name="Below LLW" sheetId="21" r:id="rId16"/>
    <sheet name="Total (1_2_1_a)" sheetId="22" r:id="rId17"/>
    <sheet name="Reference (1_2_1_b)" sheetId="23" r:id="rId18"/>
    <sheet name="Employment Gaps" sheetId="24" r:id="rId19"/>
    <sheet name="Gender (1_2_2_a)" sheetId="25" r:id="rId20"/>
    <sheet name="Disability Status (1_2_2_b)" sheetId="26" r:id="rId21"/>
    <sheet name="Minority Ethnic (1_2_2_c)" sheetId="27" r:id="rId22"/>
    <sheet name="Ethnic Group (1_2_2_d)" sheetId="28" r:id="rId23"/>
    <sheet name="Work-Life Balance" sheetId="30" r:id="rId24"/>
    <sheet name="Flexible Working (1_2_3_a)" sheetId="31" r:id="rId25"/>
    <sheet name="Overemployment (1_2_3_b)" sheetId="32" r:id="rId26"/>
    <sheet name="Insecure Employment" sheetId="33" r:id="rId27"/>
    <sheet name="Total (1_2_4_a)" sheetId="34" r:id="rId28"/>
    <sheet name="Zero Hours (1_2_4_b)" sheetId="35" r:id="rId29"/>
    <sheet name="Zero Hours By Age (1_2_4_c)" sheetId="36" r:id="rId30"/>
    <sheet name="Equal Opportunities" sheetId="38" r:id="rId31"/>
    <sheet name="Accessing Employment" sheetId="39" r:id="rId32"/>
    <sheet name="Unemployment Rate" sheetId="37" r:id="rId33"/>
    <sheet name="Total (2_1_1_a)" sheetId="40" r:id="rId34"/>
    <sheet name="Gender-Ethnic Group (2_1_1_b)" sheetId="41" r:id="rId35"/>
    <sheet name="Underemployment" sheetId="42" r:id="rId36"/>
    <sheet name="Total (2_1_2_a)" sheetId="43" r:id="rId37"/>
    <sheet name="Underutility" sheetId="44" r:id="rId38"/>
    <sheet name="Total (2_1_3_a)" sheetId="45" r:id="rId39"/>
    <sheet name="Parental Employment" sheetId="46" r:id="rId40"/>
    <sheet name="Total (2_1_4_a)" sheetId="47" r:id="rId41"/>
    <sheet name="Ethnic Group (2_1_4_b)" sheetId="48" r:id="rId42"/>
    <sheet name="Household Composition (2_1_4_c)" sheetId="49" r:id="rId43"/>
    <sheet name="Equal Life Chances" sheetId="51" r:id="rId44"/>
    <sheet name="School Readiness" sheetId="52" r:id="rId45"/>
    <sheet name="Total (2_2_1_a)" sheetId="117" r:id="rId46"/>
    <sheet name="KS4 Achievment" sheetId="53" r:id="rId47"/>
    <sheet name="Total (2_2_2_a)" sheetId="54" r:id="rId48"/>
    <sheet name="Ethnic Group (2_2_2_b)" sheetId="55" r:id="rId49"/>
    <sheet name="Gender (2_2_2_c)" sheetId="56" r:id="rId50"/>
    <sheet name="First Language (2_2_2_d)" sheetId="57" r:id="rId51"/>
    <sheet name="FSM Status (2_2_2_e)" sheetId="58" r:id="rId52"/>
    <sheet name="SEN Status (2_2_2_f)" sheetId="59" r:id="rId53"/>
    <sheet name="Disadvantaged Status (2_2_2_g)" sheetId="60" r:id="rId54"/>
    <sheet name="NoLow Qualifications" sheetId="61" r:id="rId55"/>
    <sheet name="Total (2_2_3_a)" sheetId="62" r:id="rId56"/>
    <sheet name="Region (2_2_3_b)" sheetId="63" r:id="rId57"/>
    <sheet name="NEET" sheetId="64" r:id="rId58"/>
    <sheet name="Total (2_2_4_a)" sheetId="65" r:id="rId59"/>
    <sheet name="In Work Training" sheetId="66" r:id="rId60"/>
    <sheet name="Total (2_2_5_a)" sheetId="67" r:id="rId61"/>
    <sheet name="Apprenticeships" sheetId="68" r:id="rId62"/>
    <sheet name="London (2_2_6_a)" sheetId="69" r:id="rId63"/>
    <sheet name="UK (2_2_6_b)" sheetId="70" r:id="rId64"/>
    <sheet name="London-UK (2_2_6_c)" sheetId="71" r:id="rId65"/>
    <sheet name="Income Inequality" sheetId="73" r:id="rId66"/>
    <sheet name="Difference (2_2_7_a)" sheetId="74" r:id="rId67"/>
    <sheet name="90-10 Ratio (2_2_7_b)" sheetId="75" r:id="rId68"/>
    <sheet name="Wealth Inequality" sheetId="76" r:id="rId69"/>
    <sheet name="Decile (2_2_8_a)" sheetId="77" r:id="rId70"/>
    <sheet name="Raising Living Standards" sheetId="78" r:id="rId71"/>
    <sheet name="Cost of Living" sheetId="79" r:id="rId72"/>
    <sheet name="Disposable Income" sheetId="80" r:id="rId73"/>
    <sheet name="Total (3_1_1_a)" sheetId="81" r:id="rId74"/>
    <sheet name="Childcare Costs" sheetId="82" r:id="rId75"/>
    <sheet name="Total (3_1_2_a)" sheetId="83" r:id="rId76"/>
    <sheet name="Energy Efficiency" sheetId="84" r:id="rId77"/>
    <sheet name="Total (3_1_3_a)" sheetId="85" r:id="rId78"/>
    <sheet name="Fuel Poverty" sheetId="86" r:id="rId79"/>
    <sheet name="Total (3_1_4_a)" sheetId="87" r:id="rId80"/>
    <sheet name="Reducing Poverty" sheetId="88" r:id="rId81"/>
    <sheet name="Population In Poverty" sheetId="93" r:id="rId82"/>
    <sheet name="Total (3_2_1_a)" sheetId="89" r:id="rId83"/>
    <sheet name="Age (3_2_1_b)" sheetId="90" r:id="rId84"/>
    <sheet name="Persistent Poverty" sheetId="91" r:id="rId85"/>
    <sheet name="Total (3_2_2_a)" sheetId="92" r:id="rId86"/>
    <sheet name="Absolute Poverty" sheetId="94" r:id="rId87"/>
    <sheet name="Total (3_2_3_a)" sheetId="96" r:id="rId88"/>
    <sheet name="Age (3_2_3_b)" sheetId="97" r:id="rId89"/>
    <sheet name="Material Deprivation" sheetId="95" r:id="rId90"/>
    <sheet name="Pensioners (3_2_4_a)" sheetId="100" r:id="rId91"/>
    <sheet name="WA (3_2_4_b)" sheetId="101" r:id="rId92"/>
    <sheet name="Children (3_2_4_c)" sheetId="102" r:id="rId93"/>
    <sheet name="Homelessness" sheetId="98" r:id="rId94"/>
    <sheet name="Rough Sleeping (3_2_5_a)" sheetId="103" r:id="rId95"/>
    <sheet name="Temp Housing (3_2_5_b)" sheetId="104" r:id="rId96"/>
    <sheet name="Temp Housing Old (3_2_5_c)" sheetId="105" r:id="rId97"/>
    <sheet name="Problem Debt" sheetId="99" r:id="rId98"/>
    <sheet name="Total (3_2_6_a)" sheetId="106" r:id="rId99"/>
    <sheet name="Financial Inclusion" sheetId="108" r:id="rId100"/>
    <sheet name="Savings" sheetId="109" r:id="rId101"/>
    <sheet name="Total (3_3_1_a)" sheetId="114" r:id="rId102"/>
    <sheet name="Access To Bank Accounts" sheetId="110" r:id="rId103"/>
    <sheet name="Total (3_3_2_a)" sheetId="113" r:id="rId104"/>
    <sheet name="Insolvencies" sheetId="111" r:id="rId105"/>
    <sheet name="Total (3_3_3_a)" sheetId="115" r:id="rId106"/>
    <sheet name="Region (3_3_3_b)" sheetId="116" r:id="rId107"/>
  </sheets>
  <definedNames>
    <definedName name="Index">Index!$D$1</definedName>
    <definedName name="Sheetlist">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1" l="1" a="1"/>
  <c r="B5" i="1"/>
  <c r="B2" i="1" a="1"/>
  <c r="B8" i="1" a="1"/>
  <c r="B14" i="1" a="1"/>
  <c r="B20" i="1" a="1"/>
  <c r="B26" i="1" a="1"/>
  <c r="B32" i="1" a="1"/>
  <c r="B38" i="1" a="1"/>
  <c r="B50" i="1" a="1"/>
  <c r="B56" i="1" a="1"/>
  <c r="B62" i="1" a="1"/>
  <c r="B68" i="1" a="1"/>
  <c r="B74" i="1" a="1"/>
  <c r="B80" i="1" a="1"/>
  <c r="B86" i="1" a="1"/>
  <c r="B92" i="1" a="1"/>
  <c r="B98" i="1" a="1"/>
  <c r="B104" i="1" a="1"/>
  <c r="B24" i="1" a="1"/>
  <c r="B42" i="1" a="1"/>
  <c r="B60" i="1" a="1"/>
  <c r="B66" i="1" a="1"/>
  <c r="B96" i="1" a="1"/>
  <c r="B105" i="1" a="1"/>
  <c r="B18" i="1" a="1"/>
  <c r="B48" i="1" a="1"/>
  <c r="B78" i="1" a="1"/>
  <c r="B102" i="1" a="1"/>
  <c r="B3" i="1" a="1"/>
  <c r="B9" i="1" a="1"/>
  <c r="B15" i="1" a="1"/>
  <c r="B21" i="1" a="1"/>
  <c r="B27" i="1" a="1"/>
  <c r="B33" i="1" a="1"/>
  <c r="B39" i="1" a="1"/>
  <c r="B51" i="1" a="1"/>
  <c r="B57" i="1" a="1"/>
  <c r="B63" i="1" a="1"/>
  <c r="B69" i="1" a="1"/>
  <c r="B75" i="1" a="1"/>
  <c r="B81" i="1" a="1"/>
  <c r="B87" i="1" a="1"/>
  <c r="B93" i="1" a="1"/>
  <c r="B99" i="1" a="1"/>
  <c r="B6" i="1" a="1"/>
  <c r="B36" i="1" a="1"/>
  <c r="B54" i="1" a="1"/>
  <c r="B84" i="1" a="1"/>
  <c r="B12" i="1" a="1"/>
  <c r="B90" i="1" a="1"/>
  <c r="B4" i="1" a="1"/>
  <c r="B10" i="1" a="1"/>
  <c r="B16" i="1" a="1"/>
  <c r="B22" i="1" a="1"/>
  <c r="B34" i="1" a="1"/>
  <c r="B40" i="1" a="1"/>
  <c r="B52" i="1" a="1"/>
  <c r="B58" i="1" a="1"/>
  <c r="B64" i="1" a="1"/>
  <c r="B70" i="1" a="1"/>
  <c r="B76" i="1" a="1"/>
  <c r="B82" i="1" a="1"/>
  <c r="B88" i="1" a="1"/>
  <c r="B94" i="1" a="1"/>
  <c r="B100" i="1" a="1"/>
  <c r="B106" i="1" a="1"/>
  <c r="B11" i="1" a="1"/>
  <c r="B17" i="1" a="1"/>
  <c r="B23" i="1" a="1"/>
  <c r="B29" i="1" a="1"/>
  <c r="B35" i="1" a="1"/>
  <c r="B41" i="1" a="1"/>
  <c r="B47" i="1" a="1"/>
  <c r="B53" i="1" a="1"/>
  <c r="B59" i="1" a="1"/>
  <c r="B65" i="1" a="1"/>
  <c r="B71" i="1" a="1"/>
  <c r="B77" i="1" a="1"/>
  <c r="B83" i="1" a="1"/>
  <c r="B89" i="1" a="1"/>
  <c r="B95" i="1" a="1"/>
  <c r="B101" i="1" a="1"/>
  <c r="B30" i="1" a="1"/>
  <c r="B72" i="1" a="1"/>
  <c r="B19" i="1" a="1"/>
  <c r="B55" i="1" a="1"/>
  <c r="B25" i="1" a="1"/>
  <c r="B61" i="1" a="1"/>
  <c r="B91" i="1" a="1"/>
  <c r="B31" i="1" a="1"/>
  <c r="B67" i="1" a="1"/>
  <c r="B97" i="1" a="1"/>
  <c r="B37" i="1" a="1"/>
  <c r="B73" i="1" a="1"/>
  <c r="B7" i="1" a="1"/>
  <c r="B43" i="1" a="1"/>
  <c r="B103" i="1" a="1"/>
  <c r="B79" i="1" a="1"/>
  <c r="B13" i="1" a="1"/>
  <c r="B49" i="1" a="1"/>
  <c r="B85" i="1" a="1"/>
  <c r="B1" i="1" a="1"/>
  <c r="B44" i="1" a="1"/>
  <c r="B45" i="1" a="1"/>
  <c r="B46" i="1" a="1"/>
  <c r="B28" i="1" a="1"/>
  <c r="B28" i="1" l="1"/>
  <c r="B46" i="1"/>
  <c r="B45" i="1"/>
  <c r="B44" i="1"/>
  <c r="B85" i="1"/>
  <c r="B49" i="1"/>
  <c r="B13" i="1"/>
  <c r="B79" i="1"/>
  <c r="B103" i="1"/>
  <c r="B43" i="1"/>
  <c r="B7" i="1"/>
  <c r="B73" i="1"/>
  <c r="B37" i="1"/>
  <c r="B97" i="1"/>
  <c r="B67" i="1"/>
  <c r="B31" i="1"/>
  <c r="B91" i="1"/>
  <c r="B61" i="1"/>
  <c r="B25" i="1"/>
  <c r="B55" i="1"/>
  <c r="B19" i="1"/>
  <c r="B72" i="1"/>
  <c r="B30" i="1"/>
  <c r="B101" i="1"/>
  <c r="B95" i="1"/>
  <c r="B89" i="1"/>
  <c r="B83" i="1"/>
  <c r="B77" i="1"/>
  <c r="B71" i="1"/>
  <c r="B65" i="1"/>
  <c r="B59" i="1"/>
  <c r="B53" i="1"/>
  <c r="B47" i="1"/>
  <c r="B41" i="1"/>
  <c r="B35" i="1"/>
  <c r="B29" i="1"/>
  <c r="B23" i="1"/>
  <c r="B17" i="1"/>
  <c r="B11" i="1"/>
  <c r="B106" i="1"/>
  <c r="B100" i="1"/>
  <c r="B94" i="1"/>
  <c r="B88" i="1"/>
  <c r="B82" i="1"/>
  <c r="B76" i="1"/>
  <c r="B70" i="1"/>
  <c r="B64" i="1"/>
  <c r="B58" i="1"/>
  <c r="B52" i="1"/>
  <c r="B40" i="1"/>
  <c r="B34" i="1"/>
  <c r="B22" i="1"/>
  <c r="B16" i="1"/>
  <c r="B10" i="1"/>
  <c r="B4" i="1"/>
  <c r="B90" i="1"/>
  <c r="B12" i="1"/>
  <c r="B84" i="1"/>
  <c r="B54" i="1"/>
  <c r="B36" i="1"/>
  <c r="B6" i="1"/>
  <c r="B99" i="1"/>
  <c r="B93" i="1"/>
  <c r="B87" i="1"/>
  <c r="B81" i="1"/>
  <c r="B75" i="1"/>
  <c r="B69" i="1"/>
  <c r="B63" i="1"/>
  <c r="B57" i="1"/>
  <c r="B51" i="1"/>
  <c r="B39" i="1"/>
  <c r="B33" i="1"/>
  <c r="B27" i="1"/>
  <c r="B21" i="1"/>
  <c r="B15" i="1"/>
  <c r="B9" i="1"/>
  <c r="B3" i="1"/>
  <c r="B102" i="1"/>
  <c r="B78" i="1"/>
  <c r="B48" i="1"/>
  <c r="B18" i="1"/>
  <c r="B105" i="1"/>
  <c r="B96" i="1"/>
  <c r="B66" i="1"/>
  <c r="B60" i="1"/>
  <c r="B42" i="1"/>
  <c r="B24" i="1"/>
  <c r="B104" i="1"/>
  <c r="B98" i="1"/>
  <c r="B92" i="1"/>
  <c r="B86" i="1"/>
  <c r="B80" i="1"/>
  <c r="B74" i="1"/>
  <c r="B68" i="1"/>
  <c r="B62" i="1"/>
  <c r="B56" i="1"/>
  <c r="B50" i="1"/>
  <c r="B38" i="1"/>
  <c r="B32" i="1"/>
  <c r="B26" i="1"/>
  <c r="B20" i="1"/>
  <c r="B14" i="1"/>
  <c r="B8" i="1"/>
  <c r="B2" i="1"/>
  <c r="B1"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<sst xmlns="http://schemas.openxmlformats.org/spreadsheetml/2006/main" count="535" uniqueCount="254">
  <si>
    <t>Year</t>
  </si>
  <si>
    <t>Full-time London</t>
  </si>
  <si>
    <t>Full-time UK</t>
  </si>
  <si>
    <t>Part-time London</t>
  </si>
  <si>
    <t>Part-time UK</t>
  </si>
  <si>
    <t>X.1</t>
  </si>
  <si>
    <t>London</t>
  </si>
  <si>
    <t>UK</t>
  </si>
  <si>
    <t>Ethnicity</t>
  </si>
  <si>
    <t>Ethnicity Pay Gap (London)</t>
  </si>
  <si>
    <t>Ethnicity Pay Gap (Rest of England &amp; Wales)</t>
  </si>
  <si>
    <t>Black, Asian &amp; Minority Ethnic</t>
  </si>
  <si>
    <t>Chinese</t>
  </si>
  <si>
    <t>Indian</t>
  </si>
  <si>
    <t>Pakistani</t>
  </si>
  <si>
    <t>Bangladeshi</t>
  </si>
  <si>
    <t>Black African</t>
  </si>
  <si>
    <t>Black Caribbean/ Other</t>
  </si>
  <si>
    <t>Mixed</t>
  </si>
  <si>
    <t>n/a</t>
  </si>
  <si>
    <t>Data:  July 24</t>
  </si>
  <si>
    <t>Notes</t>
  </si>
  <si>
    <t>Rest of England &amp; Wales</t>
  </si>
  <si>
    <t>Data not downloadable, uses static chart, must change!</t>
  </si>
  <si>
    <t>No download button, potentially just css stuff messing up</t>
  </si>
  <si>
    <t>Ideally add a time series, perhaps with a selector for a single ethnicity</t>
  </si>
  <si>
    <t>Reference period for ASHE</t>
  </si>
  <si>
    <t>LLW in place at time of survey (£)</t>
  </si>
  <si>
    <t>UKLW in place at time of survey (£)</t>
  </si>
  <si>
    <t>London Males</t>
  </si>
  <si>
    <t>London Females</t>
  </si>
  <si>
    <t>London Disabled</t>
  </si>
  <si>
    <t>London Not Disabled</t>
  </si>
  <si>
    <t>-</t>
  </si>
  <si>
    <t>London White</t>
  </si>
  <si>
    <t>London ethnic minority</t>
  </si>
  <si>
    <t>Ethnic Group</t>
  </si>
  <si>
    <t>All ethnic minority</t>
  </si>
  <si>
    <t>Data: 24/4/24</t>
  </si>
  <si>
    <t>Pakistani / Bangladeshi</t>
  </si>
  <si>
    <t>Black or Black British</t>
  </si>
  <si>
    <t>Other</t>
  </si>
  <si>
    <t>2013 Q4</t>
  </si>
  <si>
    <t>2014 Q2</t>
  </si>
  <si>
    <t>2014 Q4</t>
  </si>
  <si>
    <t>2015 Q2</t>
  </si>
  <si>
    <t>2015 Q4</t>
  </si>
  <si>
    <t>2016 Q2</t>
  </si>
  <si>
    <t>2016 Q4</t>
  </si>
  <si>
    <t>2017 Q2</t>
  </si>
  <si>
    <t>2017 Q4</t>
  </si>
  <si>
    <t>2018 Q2</t>
  </si>
  <si>
    <t>2018 Q4</t>
  </si>
  <si>
    <t>2019 Q2</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</si>
  <si>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</si>
  <si>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</si>
  <si>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</si>
  <si>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</si>
  <si>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</si>
  <si>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</si>
  <si>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</si>
  <si>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</si>
  <si>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</si>
  <si>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</si>
  <si>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</si>
  <si>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</si>
  <si>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</si>
  <si>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</si>
  <si>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</si>
  <si>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</si>
  <si>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</si>
  <si>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</si>
  <si>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London - all aged 16+</t>
  </si>
  <si>
    <t>London -  aged 18-24</t>
  </si>
  <si>
    <t>All 16+</t>
  </si>
  <si>
    <t>White</t>
  </si>
  <si>
    <t>Mixed ethnic group</t>
  </si>
  <si>
    <t>Pakistani/Bangladeshi</t>
  </si>
  <si>
    <t>Other ethnic groups</t>
  </si>
  <si>
    <t>UK males</t>
  </si>
  <si>
    <t>UK females</t>
  </si>
  <si>
    <t>London males</t>
  </si>
  <si>
    <t>London females</t>
  </si>
  <si>
    <t>N/A</t>
  </si>
  <si>
    <t>Adults</t>
  </si>
  <si>
    <t>White British</t>
  </si>
  <si>
    <t>Other White</t>
  </si>
  <si>
    <t>Mixed/Multiple ethnic groups</t>
  </si>
  <si>
    <t>Any other Asian background</t>
  </si>
  <si>
    <t>Black Caribbean/Other</t>
  </si>
  <si>
    <t>Male non-parent</t>
  </si>
  <si>
    <t>Male parent</t>
  </si>
  <si>
    <t>Female non-parent</t>
  </si>
  <si>
    <t>Female parent</t>
  </si>
  <si>
    <t>Characteristic</t>
  </si>
  <si>
    <t>Employment rate</t>
  </si>
  <si>
    <t>Column 1</t>
  </si>
  <si>
    <t>1 person - male</t>
  </si>
  <si>
    <t>1 person - female</t>
  </si>
  <si>
    <t>lone parent</t>
  </si>
  <si>
    <t>father in couple</t>
  </si>
  <si>
    <t>mother in couple</t>
  </si>
  <si>
    <t>Adult in family with non-dependent children only</t>
  </si>
  <si>
    <t>Couple with no children - male</t>
  </si>
  <si>
    <t>Couple with no children - female</t>
  </si>
  <si>
    <t>England</t>
  </si>
  <si>
    <t>Asian</t>
  </si>
  <si>
    <t>Black</t>
  </si>
  <si>
    <t>Unclassified</t>
  </si>
  <si>
    <t>All pupils</t>
  </si>
  <si>
    <t>Lots of other data is tabbed - do we want to continue with this, or use different charts? In order to track progress we probably need to identify single tab as main indicator, and other as supplementary. Its strange because 2_2_2 could also be tabbed but it isnt - need some consistency here!</t>
  </si>
  <si>
    <t>Gender</t>
  </si>
  <si>
    <t>Boys</t>
  </si>
  <si>
    <t>Girls</t>
  </si>
  <si>
    <t>First Language</t>
  </si>
  <si>
    <t>English</t>
  </si>
  <si>
    <t>SEN</t>
  </si>
  <si>
    <t>No SEN</t>
  </si>
  <si>
    <t>SEN support</t>
  </si>
  <si>
    <t>SEN statement/EHC plan</t>
  </si>
  <si>
    <t>Eligibility</t>
  </si>
  <si>
    <t>Eligible</t>
  </si>
  <si>
    <t>All Other</t>
  </si>
  <si>
    <t>Disadvantage status</t>
  </si>
  <si>
    <t>Disadvantaged</t>
  </si>
  <si>
    <t>Not disadvantaged</t>
  </si>
  <si>
    <t>Notes.2</t>
  </si>
  <si>
    <t>Notes.3</t>
  </si>
  <si>
    <t>Notes.1</t>
  </si>
  <si>
    <t>Region</t>
  </si>
  <si>
    <t>NQF Level 4 +</t>
  </si>
  <si>
    <t>NQF Level 3</t>
  </si>
  <si>
    <t>Trade apprenticeships</t>
  </si>
  <si>
    <t>NQF Level 2</t>
  </si>
  <si>
    <t>Other qualifications</t>
  </si>
  <si>
    <t>Below NQF Level 2</t>
  </si>
  <si>
    <t>No qualifications</t>
  </si>
  <si>
    <t>North East</t>
  </si>
  <si>
    <t>North West</t>
  </si>
  <si>
    <t>Yorkshire &amp; Humberside</t>
  </si>
  <si>
    <t>East Midlands</t>
  </si>
  <si>
    <t>West Midlands</t>
  </si>
  <si>
    <t>Eastern</t>
  </si>
  <si>
    <t>South East</t>
  </si>
  <si>
    <t>South West</t>
  </si>
  <si>
    <t>Wales</t>
  </si>
  <si>
    <t>Scotland</t>
  </si>
  <si>
    <t>Northern Ireland</t>
  </si>
  <si>
    <t>4 quarter average</t>
  </si>
  <si>
    <t>2000*</t>
  </si>
  <si>
    <t>Total starts</t>
  </si>
  <si>
    <t>Total achievements</t>
  </si>
  <si>
    <t>2005/06</t>
  </si>
  <si>
    <t>2006/07</t>
  </si>
  <si>
    <t>2007/08</t>
  </si>
  <si>
    <t>2008/09</t>
  </si>
  <si>
    <t>2009/10</t>
  </si>
  <si>
    <t>2010/11</t>
  </si>
  <si>
    <t>2011/12</t>
  </si>
  <si>
    <t>2012/13</t>
  </si>
  <si>
    <t>2013/14</t>
  </si>
  <si>
    <t>2014/15</t>
  </si>
  <si>
    <t>2015/16</t>
  </si>
  <si>
    <t>2016/17</t>
  </si>
  <si>
    <t>2017/18</t>
  </si>
  <si>
    <t>2018/19</t>
  </si>
  <si>
    <t>2019/20</t>
  </si>
  <si>
    <t>2020/21</t>
  </si>
  <si>
    <t>2021/22</t>
  </si>
  <si>
    <t>2022/23</t>
  </si>
  <si>
    <t>Rest of UK</t>
  </si>
  <si>
    <t>2008/09-2010/11</t>
  </si>
  <si>
    <t>2009/10-2011/12</t>
  </si>
  <si>
    <t>2010/11-2012/13</t>
  </si>
  <si>
    <t>2011/12-2013/14</t>
  </si>
  <si>
    <t>2012/13-2014/15</t>
  </si>
  <si>
    <t>2013/14-2015/16</t>
  </si>
  <si>
    <t>2014/15-2016/17</t>
  </si>
  <si>
    <t>2015/16-2017/18</t>
  </si>
  <si>
    <t>2016/17-2018/19</t>
  </si>
  <si>
    <t>2017/18-2019/20</t>
  </si>
  <si>
    <t>2018/19-2020/21*</t>
  </si>
  <si>
    <t>2019/20-2021/22*</t>
  </si>
  <si>
    <t>2020/21-2022/23*</t>
  </si>
  <si>
    <t>Data not available for download since chart is static (need to change this!)</t>
  </si>
  <si>
    <t>08/09-10/11</t>
  </si>
  <si>
    <t>09/10-11/12</t>
  </si>
  <si>
    <t>10/11-12/13</t>
  </si>
  <si>
    <t>11/12-13/14</t>
  </si>
  <si>
    <t>12/13-14/15</t>
  </si>
  <si>
    <t>13/14-15/16</t>
  </si>
  <si>
    <t>14/15-16/17</t>
  </si>
  <si>
    <t>15/16-17/18</t>
  </si>
  <si>
    <t>16/17-18/19</t>
  </si>
  <si>
    <t>17/18-19/20</t>
  </si>
  <si>
    <t>18/19-20/21*</t>
  </si>
  <si>
    <t>19/20-21/22*</t>
  </si>
  <si>
    <t>20/21-22/23*</t>
  </si>
  <si>
    <t>GB</t>
  </si>
  <si>
    <t>Notes.4</t>
  </si>
  <si>
    <t>Notes.5</t>
  </si>
  <si>
    <t>Notes.6</t>
  </si>
  <si>
    <t>Notes.7</t>
  </si>
  <si>
    <t>Notes.8</t>
  </si>
  <si>
    <t>Notes.9</t>
  </si>
  <si>
    <t>Notes.10</t>
  </si>
  <si>
    <t>Notes.12</t>
  </si>
  <si>
    <t>Notes.13</t>
  </si>
  <si>
    <t>Notes.14</t>
  </si>
  <si>
    <t>Notes.15</t>
  </si>
  <si>
    <t>Notes.16</t>
  </si>
  <si>
    <t>Notes.17</t>
  </si>
  <si>
    <t>Notes.18</t>
  </si>
  <si>
    <t>Notes.19</t>
  </si>
  <si>
    <t>Notes.20</t>
  </si>
  <si>
    <t>Notes.21</t>
  </si>
  <si>
    <t>Notes.22</t>
  </si>
  <si>
    <t>Notes.23</t>
  </si>
  <si>
    <t>Notes.24</t>
  </si>
  <si>
    <t>Notes.25</t>
  </si>
  <si>
    <t>Notes.26</t>
  </si>
  <si>
    <t>Group</t>
  </si>
  <si>
    <t>All people</t>
  </si>
  <si>
    <t>Children</t>
  </si>
  <si>
    <t>Working Age</t>
  </si>
  <si>
    <t>Pensioners</t>
  </si>
  <si>
    <t>Total number of rough sleepers</t>
  </si>
  <si>
    <t>13/14</t>
  </si>
  <si>
    <t>14/15</t>
  </si>
  <si>
    <t>15/16</t>
  </si>
  <si>
    <t>16/17</t>
  </si>
  <si>
    <t>17/18</t>
  </si>
  <si>
    <t>18/19</t>
  </si>
  <si>
    <t>19/20</t>
  </si>
  <si>
    <t>20/21</t>
  </si>
  <si>
    <t>21/22</t>
  </si>
  <si>
    <t>22/23</t>
  </si>
  <si>
    <t>23/24</t>
  </si>
  <si>
    <t>Date</t>
  </si>
  <si>
    <t>London households with children</t>
  </si>
  <si>
    <t>London other households</t>
  </si>
  <si>
    <t>Rest of England households with children</t>
  </si>
  <si>
    <t>Rest of England other households</t>
  </si>
  <si>
    <t xml:space="preserve">London </t>
  </si>
  <si>
    <t>Rate</t>
  </si>
  <si>
    <t>Yorks and Humberside</t>
  </si>
  <si>
    <t>No chart even, but potentially just css stuff messing up</t>
  </si>
  <si>
    <t>Savings £0</t>
  </si>
  <si>
    <t>Savings but under £1,500</t>
  </si>
  <si>
    <t>Savings £1,500 or more</t>
  </si>
  <si>
    <t>Rate per 10,000</t>
  </si>
  <si>
    <t>Yorkshire and The Humber</t>
  </si>
  <si>
    <t>East of England</t>
  </si>
  <si>
    <t>Back to 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</si>
</sst>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8" formatCode="&quot;£&quot;#,##0.00;[Red]\-&quot;£&quot;#,##0.00"/>
  </numFmts>
  <fonts count="10" x14ac:knownFonts="1">
    <font>
      <sz val="12"/>
      <color theme="1"/>
      <name val="Arial"/>
      <family val="2"/>
    </font>
    <font>
      <u/>
      <sz val="12"/>
      <color theme="10"/>
      <name val="Arial"/>
      <family val="2"/>
    </font>
    <font>
      <sz val="12"/>
      <color theme="0"/>
      <name val="Arial"/>
      <family val="2"/>
    </font>
    <font>
      <sz val="12"/>
      <name val="Arial"/>
      <family val="2"/>
    </font>
    <font>
      <sz val="22"/>
      <color theme="0"/>
      <name val="Arial"/>
      <family val="2"/>
    </font>
    <font>
      <u/>
      <sz val="22"/>
      <color theme="0"/>
      <name val="Arial"/>
      <family val="2"/>
    </font>
    <font>
      <sz val="22"/>
      <name val="Arial"/>
      <family val="2"/>
    </font>
    <font>
      <u/>
      <sz val="22"/>
      <name val="Arial"/>
      <family val="2"/>
    </font>
    <font>
      <sz val="22"/>
      <color theme="1"/>
      <name val="Arial"/>
      <family val="2"/>
    </font>
    <font>
      <sz val="22"/>
      <color rgb="FF545454"/>
      <name val="Courier New"/>
      <family val="3"/>
    </font>
  </fonts>
  <fills count="12">
    <fill>
      <patternFill patternType="none"/>
    </fill>
    <fill>
      <patternFill patternType="gray125"/>
    </fill>
    <fill>
      <patternFill patternType="solid">
        <fgColor theme="4" tint="-0.499984740745262"/>
        <bgColor indexed="64"/>
      </patternFill>
    </fill>
    <fill>
      <patternFill patternType="solid">
        <fgColor theme="5" tint="-0.499984740745262"/>
        <bgColor indexed="64"/>
      </patternFill>
    </fill>
    <fill>
      <patternFill patternType="solid">
        <fgColor theme="9" tint="-0.499984740745262"/>
        <bgColor indexed="64"/>
      </patternFill>
    </fill>
    <fill>
      <patternFill patternType="solid">
        <fgColor theme="4" tint="0.79998168889431442"/>
        <bgColor indexed="64"/>
      </patternFill>
    </fill>
    <fill>
      <patternFill patternType="solid">
        <fgColor theme="2"/>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theme="9" tint="0.79998168889431442"/>
        <bgColor indexed="64"/>
      </patternFill>
    </fill>
  </fills>
  <borders count="14">
    <border>
      <left/>
      <right/>
      <top/>
      <bottom/>
      <diagonal/>
    </border>
    <border>
      <left/>
      <right style="thick">
        <color theme="0" tint="-4.9989318521683403E-2"/>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right/>
      <top/>
      <bottom style="thick">
        <color theme="4" tint="-0.499984740745262"/>
      </bottom>
      <diagonal/>
    </border>
    <border>
      <left/>
      <right/>
      <top/>
      <bottom style="medium">
        <color theme="4" tint="0.39994506668294322"/>
      </bottom>
      <diagonal/>
    </border>
    <border>
      <left/>
      <right/>
      <top style="thin">
        <color theme="4" tint="0.79998168889431442"/>
      </top>
      <bottom/>
      <diagonal/>
    </border>
    <border>
      <left style="thin">
        <color theme="0"/>
      </left>
      <right/>
      <top/>
      <bottom/>
      <diagonal/>
    </border>
    <border>
      <left style="thin">
        <color theme="0"/>
      </left>
      <right/>
      <top/>
      <bottom style="thin">
        <color theme="0"/>
      </bottom>
      <diagonal/>
    </border>
    <border>
      <left style="thin">
        <color theme="0"/>
      </left>
      <right/>
      <top style="thin">
        <color theme="0"/>
      </top>
      <bottom style="thin">
        <color theme="0"/>
      </bottom>
      <diagonal/>
    </border>
    <border>
      <left style="thin">
        <color theme="0"/>
      </left>
      <right/>
      <top/>
      <bottom style="thick">
        <color theme="4" tint="-0.499984740745262"/>
      </bottom>
      <diagonal/>
    </border>
    <border>
      <left style="thin">
        <color theme="0"/>
      </left>
      <right/>
      <top/>
      <bottom style="medium">
        <color theme="4" tint="0.39994506668294322"/>
      </bottom>
      <diagonal/>
    </border>
    <border>
      <left style="thin">
        <color theme="0"/>
      </left>
      <right style="thin">
        <color theme="0"/>
      </right>
      <top style="medium">
        <color theme="4" tint="0.39994506668294322"/>
      </top>
      <bottom/>
      <diagonal/>
    </border>
    <border>
      <left style="thin">
        <color theme="0"/>
      </left>
      <right/>
      <top style="thin">
        <color theme="4" tint="0.79998168889431442"/>
      </top>
      <bottom/>
      <diagonal/>
    </border>
  </borders>
  <cellStyleXfs count="2">
    <xf numFmtId="0" fontId="0" fillId="0" borderId="0"/>
    <xf numFmtId="0" fontId="1" fillId="0" borderId="0" applyNumberFormat="0" applyFill="0" applyBorder="0" applyAlignment="0" applyProtection="0"/>
  </cellStyleXfs>
  <cellXfs count="48">
    <xf numFmtId="0" fontId="0" fillId="0" borderId="0" xfId="0"/>
    <xf numFmtId="10" fontId="0" fillId="0" borderId="0" xfId="0" applyNumberFormat="1"/>
    <xf numFmtId="0" fontId="0" fillId="0" borderId="0" xfId="0" applyAlignment="1">
      <alignment horizontal="center"/>
    </xf>
    <xf numFmtId="17" fontId="0" fillId="0" borderId="0" xfId="0" applyNumberFormat="1"/>
    <xf numFmtId="8" fontId="0" fillId="0" borderId="0" xfId="0" applyNumberFormat="1"/>
    <xf numFmtId="14" fontId="0" fillId="0" borderId="0" xfId="0" applyNumberFormat="1"/>
    <xf numFmtId="9" fontId="0" fillId="0" borderId="0" xfId="0" applyNumberFormat="1"/>
    <xf numFmtId="16" fontId="0" fillId="0" borderId="0" xfId="0" applyNumberFormat="1"/>
    <xf numFmtId="3" fontId="0" fillId="0" borderId="0" xfId="0" applyNumberFormat="1"/>
    <xf numFmtId="0" fontId="3" fillId="0" borderId="0" xfId="0" applyFont="1"/>
    <xf numFmtId="0" fontId="2" fillId="0" borderId="0" xfId="0" applyFont="1"/>
    <xf numFmtId="0" fontId="4" fillId="2" borderId="4" xfId="0" applyFont="1" applyFill="1" applyBorder="1" applyAlignment="1">
      <alignment horizontal="center" vertical="center"/>
    </xf>
    <xf numFmtId="0" fontId="5" fillId="2" borderId="10" xfId="1" applyFont="1" applyFill="1" applyBorder="1" applyAlignment="1">
      <alignment horizontal="center" vertical="center"/>
    </xf>
    <xf numFmtId="0" fontId="6" fillId="7" borderId="5" xfId="0" applyFont="1" applyFill="1" applyBorder="1" applyAlignment="1">
      <alignment horizontal="center" vertical="center"/>
    </xf>
    <xf numFmtId="0" fontId="7" fillId="7" borderId="11" xfId="1" applyFont="1" applyFill="1" applyBorder="1" applyAlignment="1">
      <alignment horizontal="center" vertical="center"/>
    </xf>
    <xf numFmtId="0" fontId="6" fillId="5" borderId="7" xfId="0" applyFont="1" applyFill="1" applyBorder="1" applyAlignment="1">
      <alignment horizontal="center" vertical="center"/>
    </xf>
    <xf numFmtId="0" fontId="7" fillId="5" borderId="12" xfId="1" applyFont="1" applyFill="1" applyBorder="1" applyAlignment="1">
      <alignment horizontal="center" vertical="center"/>
    </xf>
    <xf numFmtId="0" fontId="6" fillId="6" borderId="6" xfId="0" applyFont="1" applyFill="1" applyBorder="1" applyAlignment="1">
      <alignment horizontal="center" vertical="center"/>
    </xf>
    <xf numFmtId="0" fontId="7" fillId="6" borderId="13" xfId="1" applyFont="1" applyFill="1" applyBorder="1" applyAlignment="1">
      <alignment horizontal="center" vertical="center"/>
    </xf>
    <xf numFmtId="0" fontId="6" fillId="6" borderId="8" xfId="0" applyFont="1" applyFill="1" applyBorder="1" applyAlignment="1">
      <alignment horizontal="center" vertical="center"/>
    </xf>
    <xf numFmtId="0" fontId="7" fillId="6" borderId="3" xfId="1" applyFont="1" applyFill="1" applyBorder="1" applyAlignment="1">
      <alignment horizontal="center" vertical="center"/>
    </xf>
    <xf numFmtId="0" fontId="6" fillId="5" borderId="9" xfId="0" applyFont="1" applyFill="1" applyBorder="1" applyAlignment="1">
      <alignment horizontal="center" vertical="center"/>
    </xf>
    <xf numFmtId="0" fontId="7" fillId="5" borderId="2" xfId="1" applyFont="1" applyFill="1" applyBorder="1" applyAlignment="1">
      <alignment horizontal="center" vertical="center"/>
    </xf>
    <xf numFmtId="0" fontId="6" fillId="6" borderId="9" xfId="0" applyFont="1" applyFill="1" applyBorder="1" applyAlignment="1">
      <alignment horizontal="center" vertical="center"/>
    </xf>
    <xf numFmtId="0" fontId="7" fillId="6" borderId="2" xfId="1" applyFont="1" applyFill="1" applyBorder="1" applyAlignment="1">
      <alignment horizontal="center" vertical="center"/>
    </xf>
    <xf numFmtId="0" fontId="6" fillId="7" borderId="9" xfId="0" applyFont="1" applyFill="1" applyBorder="1" applyAlignment="1">
      <alignment horizontal="center" vertical="center"/>
    </xf>
    <xf numFmtId="0" fontId="7" fillId="7" borderId="2" xfId="1" applyFont="1" applyFill="1" applyBorder="1" applyAlignment="1">
      <alignment horizontal="center" vertical="center"/>
    </xf>
    <xf numFmtId="0" fontId="4" fillId="3" borderId="1" xfId="0" applyFont="1" applyFill="1" applyBorder="1" applyAlignment="1">
      <alignment horizontal="center" vertical="center"/>
    </xf>
    <xf numFmtId="0" fontId="5" fillId="3" borderId="0" xfId="1" applyFont="1" applyFill="1" applyAlignment="1">
      <alignment horizontal="center" vertical="center"/>
    </xf>
    <xf numFmtId="0" fontId="6" fillId="8" borderId="1" xfId="0" applyFont="1" applyFill="1" applyBorder="1" applyAlignment="1">
      <alignment horizontal="center" vertical="center"/>
    </xf>
    <xf numFmtId="0" fontId="7" fillId="8" borderId="0" xfId="1" applyFont="1" applyFill="1" applyAlignment="1">
      <alignment horizontal="center" vertical="center"/>
    </xf>
    <xf numFmtId="0" fontId="6" fillId="9" borderId="1" xfId="0" applyFont="1" applyFill="1" applyBorder="1" applyAlignment="1">
      <alignment horizontal="center" vertical="center"/>
    </xf>
    <xf numFmtId="0" fontId="7" fillId="9" borderId="0" xfId="1" applyFont="1" applyFill="1" applyAlignment="1">
      <alignment horizontal="center" vertical="center"/>
    </xf>
    <xf numFmtId="0" fontId="6" fillId="6" borderId="1" xfId="0" applyFont="1" applyFill="1" applyBorder="1" applyAlignment="1">
      <alignment horizontal="center" vertical="center"/>
    </xf>
    <xf numFmtId="0" fontId="7" fillId="6" borderId="0" xfId="1" applyFont="1" applyFill="1" applyAlignment="1">
      <alignment horizontal="center" vertical="center"/>
    </xf>
    <xf numFmtId="0" fontId="4" fillId="4" borderId="1" xfId="0" applyFont="1" applyFill="1" applyBorder="1" applyAlignment="1">
      <alignment horizontal="center" vertical="center"/>
    </xf>
    <xf numFmtId="0" fontId="5" fillId="4" borderId="0" xfId="1" applyFont="1" applyFill="1" applyAlignment="1">
      <alignment horizontal="center" vertical="center"/>
    </xf>
    <xf numFmtId="0" fontId="6" fillId="10" borderId="1" xfId="0" applyFont="1" applyFill="1" applyBorder="1" applyAlignment="1">
      <alignment horizontal="center" vertical="center"/>
    </xf>
    <xf numFmtId="0" fontId="7" fillId="10" borderId="0" xfId="1" applyFont="1" applyFill="1" applyAlignment="1">
      <alignment horizontal="center" vertical="center"/>
    </xf>
    <xf numFmtId="0" fontId="6" fillId="11" borderId="1" xfId="0" applyFont="1" applyFill="1" applyBorder="1" applyAlignment="1">
      <alignment horizontal="center" vertical="center"/>
    </xf>
    <xf numFmtId="0" fontId="7" fillId="11" borderId="0" xfId="1" applyFont="1" applyFill="1" applyAlignment="1">
      <alignment horizontal="center" vertical="center"/>
    </xf>
    <xf numFmtId="0" fontId="8" fillId="0" borderId="1" xfId="0" applyFont="1" applyBorder="1" applyAlignment="1">
      <alignment horizontal="center"/>
    </xf>
    <xf numFmtId="0" fontId="9" fillId="0" borderId="0" xfId="0" applyFont="1" applyAlignment="1">
      <alignment horizontal="center"/>
    </xf>
    <xf numFmtId="0" fontId="8" fillId="0" borderId="0" xfId="0" applyFont="1" applyAlignment="1">
      <alignment horizontal="center"/>
    </xf>
    <xf numFmtId="0" fontId="1" fillId="0" borderId="0" xfId="1"/>
    <xf numFmtId="0" fontId="0" fillId="0" borderId="0" xfId="0" applyAlignment="1">
      <alignment horizontal="center"/>
    </xf>
    <xf numFmtId="0" fontId="0" fillId="0" borderId="0" xfId="0" applyAlignment="1">
      <alignment horizontal="left" wrapText="1"/>
    </xf>
    <xf numFmtId="0" fontId="1" fillId="6" borderId="2" xfId="1" applyFill="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333333"/>
      <color rgb="FF99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microsoft.com/office/2017/06/relationships/rdRichValue" Target="richData/rdrichvalue.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microsoft.com/office/2017/06/relationships/rdRichValueStructure" Target="richData/rdrichvaluestructure.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theme" Target="theme/theme1.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microsoft.com/office/2017/06/relationships/rdRichValueTypes" Target="richData/rdRichValueTyp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styles" Target="styles.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sharedStrings" Target="sharedStrings.xml"/><Relationship Id="rId115" Type="http://schemas.openxmlformats.org/officeDocument/2006/relationships/calcChain" Target="calcChain.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sheetMetadata" Target="metadata.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#NAME?</fb>
    <v>10</v>
    <v>10</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1ABF88-F785-4B7E-92BE-5C86C2276EDE}">
  <sheetPr codeName="Sheet1"/>
  <dimension ref="A1:J107"/>
  <sheetViews>
    <sheetView topLeftCell="A18" zoomScale="54" zoomScaleNormal="60" workbookViewId="0">
      <selection activeCell="B26" sqref="B26"/>
    </sheetView>
  </sheetViews>
  <sheetFormatPr defaultRowHeight="27.5" x14ac:dyDescent="0.55000000000000004"/>
  <cols>
    <col min="1" max="1" width="8.4609375" style="41" customWidth="1"/>
    <col min="2" max="2" width="55.15234375" style="43" customWidth="1"/>
  </cols>
  <sheetData>
    <row r="1" spans="1:10" s="10" customFormat="1" ht="120" customHeight="1" thickBot="1" x14ac:dyDescent="0.4">
      <c r="A1" s="11">
        <v>1</v>
      </c>
      <c r="B1" s="12" t="str" cm="1">
        <f t="array" ref="B1">HYPERLINK("#'"&amp;INDEX(Sheetlist,(A1+1))&amp;"'!A1",INDEX(Sheetlist,(A1+1)))</f>
        <v>Labour Market</v>
      </c>
    </row>
    <row r="2" spans="1:10" ht="90" customHeight="1" thickTop="1" thickBot="1" x14ac:dyDescent="0.4">
      <c r="A2" s="13">
        <v>2</v>
      </c>
      <c r="B2" s="14" t="str" cm="1">
        <f t="array" ref="B2">HYPERLINK("#'"&amp;INDEX(Sheetlist,(A2+1))&amp;"'!A1",INDEX(Sheetlist,(A2+1)))</f>
        <v>Narrowing Pay Gaps</v>
      </c>
    </row>
    <row r="3" spans="1:10" ht="60" customHeight="1" x14ac:dyDescent="0.35">
      <c r="A3" s="15">
        <v>3</v>
      </c>
      <c r="B3" s="16" t="str" cm="1">
        <f t="array" ref="B3">HYPERLINK("#'"&amp;INDEX(Sheetlist,(A3+1))&amp;"'!A1",INDEX(Sheetlist,(A3+1)))</f>
        <v>Gender Pay Gap</v>
      </c>
      <c r="J3" s="44"/>
    </row>
    <row r="4" spans="1:10" ht="40" customHeight="1" x14ac:dyDescent="0.35">
      <c r="A4" s="17">
        <v>4</v>
      </c>
      <c r="B4" s="18" t="str" cm="1">
        <f t="array" ref="B4">HYPERLINK("#'"&amp;INDEX(Sheetlist,(A4+1))&amp;"'!A1",INDEX(Sheetlist,(A4+1)))</f>
        <v>Total (1_1_1_a)</v>
      </c>
    </row>
    <row r="5" spans="1:10" ht="40" customHeight="1" x14ac:dyDescent="0.35">
      <c r="A5" s="19">
        <v>5</v>
      </c>
      <c r="B5" s="20" t="str" cm="1">
        <f t="array" ref="B5">HYPERLINK("#'"&amp;INDEX(Sheetlist,(A5+1))&amp;"'!A1",INDEX(Sheetlist,(A5+1)))</f>
        <v>Part Time-Full Time (1_1_1_b)</v>
      </c>
    </row>
    <row r="6" spans="1:10" ht="60" customHeight="1" x14ac:dyDescent="0.35">
      <c r="A6" s="21">
        <v>6</v>
      </c>
      <c r="B6" s="22" t="str" cm="1">
        <f t="array" ref="B6">HYPERLINK("#'"&amp;INDEX(Sheetlist,(A6+1))&amp;"'!A1",INDEX(Sheetlist,(A6+1)))</f>
        <v>Ethnicity Pay Gap</v>
      </c>
    </row>
    <row r="7" spans="1:10" ht="40" customHeight="1" x14ac:dyDescent="0.35">
      <c r="A7" s="23">
        <v>7</v>
      </c>
      <c r="B7" s="24" t="str" cm="1">
        <f t="array" ref="B7">HYPERLINK("#'"&amp;INDEX(Sheetlist,(A7+1))&amp;"'!A1",INDEX(Sheetlist,(A7+1)))</f>
        <v>Total (1_1_2_a)</v>
      </c>
    </row>
    <row r="8" spans="1:10" ht="40" customHeight="1" x14ac:dyDescent="0.35">
      <c r="A8" s="23">
        <v>8</v>
      </c>
      <c r="B8" s="24" t="str" cm="1">
        <f t="array" ref="B8">HYPERLINK("#'"&amp;INDEX(Sheetlist,(A8+1))&amp;"'!A1",INDEX(Sheetlist,(A8+1)))</f>
        <v>Ethnic Group (1_1_2_b)</v>
      </c>
    </row>
    <row r="9" spans="1:10" ht="60" customHeight="1" x14ac:dyDescent="0.35">
      <c r="A9" s="21">
        <v>9</v>
      </c>
      <c r="B9" s="22" t="str" cm="1">
        <f t="array" ref="B9">HYPERLINK("#'"&amp;INDEX(Sheetlist,(A9+1))&amp;"'!A1",INDEX(Sheetlist,(A9+1)))</f>
        <v>Disability Pay Gap</v>
      </c>
    </row>
    <row r="10" spans="1:10" ht="40" customHeight="1" x14ac:dyDescent="0.35">
      <c r="A10" s="23">
        <v>10</v>
      </c>
      <c r="B10" s="24" t="str" cm="1">
        <f t="array" ref="B10">HYPERLINK("#'"&amp;INDEX(Sheetlist,(A10+1))&amp;"'!A1",INDEX(Sheetlist,(A10+1)))</f>
        <v>Total (1_1_3_a)</v>
      </c>
    </row>
    <row r="11" spans="1:10" ht="60" customHeight="1" x14ac:dyDescent="0.35">
      <c r="A11" s="21">
        <v>11</v>
      </c>
      <c r="B11" s="22" t="str" cm="1">
        <f t="array" ref="B11">HYPERLINK("#'"&amp;INDEX(Sheetlist,(A11+1))&amp;"'!A1",INDEX(Sheetlist,(A11+1)))</f>
        <v>Pay Ratio</v>
      </c>
      <c r="F11" s="2"/>
    </row>
    <row r="12" spans="1:10" ht="40" customHeight="1" x14ac:dyDescent="0.35">
      <c r="A12" s="23">
        <v>12</v>
      </c>
      <c r="B12" s="24" t="str" cm="1">
        <f t="array" ref="B12">HYPERLINK("#'"&amp;INDEX(Sheetlist,(A12+1))&amp;"'!A1",INDEX(Sheetlist,(A12+1)))</f>
        <v>Total (1_1_4_a)</v>
      </c>
    </row>
    <row r="13" spans="1:10" ht="40" customHeight="1" x14ac:dyDescent="0.35">
      <c r="A13" s="23">
        <v>13</v>
      </c>
      <c r="B13" s="24" t="str" cm="1">
        <f t="array" ref="B13">HYPERLINK("#'"&amp;INDEX(Sheetlist,(A13+1))&amp;"'!A1",INDEX(Sheetlist,(A13+1)))</f>
        <v>GLA group (1_1_4_b)</v>
      </c>
    </row>
    <row r="14" spans="1:10" ht="90" customHeight="1" x14ac:dyDescent="0.35">
      <c r="A14" s="25">
        <v>14</v>
      </c>
      <c r="B14" s="26" t="str" cm="1">
        <f t="array" ref="B14">HYPERLINK("#'"&amp;INDEX(Sheetlist,(A14+1))&amp;"'!A1",INDEX(Sheetlist,(A14+1)))</f>
        <v>Fair Employment</v>
      </c>
    </row>
    <row r="15" spans="1:10" ht="60" customHeight="1" x14ac:dyDescent="0.35">
      <c r="A15" s="21">
        <v>15</v>
      </c>
      <c r="B15" s="22" t="str" cm="1">
        <f t="array" ref="B15">HYPERLINK("#'"&amp;INDEX(Sheetlist,(A15+1))&amp;"'!A1",INDEX(Sheetlist,(A15+1)))</f>
        <v>Below LLW</v>
      </c>
    </row>
    <row r="16" spans="1:10" ht="40" customHeight="1" x14ac:dyDescent="0.35">
      <c r="A16" s="23">
        <v>16</v>
      </c>
      <c r="B16" s="24" t="str" cm="1">
        <f t="array" ref="B16">HYPERLINK("#'"&amp;INDEX(Sheetlist,(A16+1))&amp;"'!A1",INDEX(Sheetlist,(A16+1)))</f>
        <v>Total (1_2_1_a)</v>
      </c>
    </row>
    <row r="17" spans="1:2" ht="40" customHeight="1" x14ac:dyDescent="0.35">
      <c r="A17" s="23">
        <v>17</v>
      </c>
      <c r="B17" s="24" t="str" cm="1">
        <f t="array" ref="B17">HYPERLINK("#'"&amp;INDEX(Sheetlist,(A17+1))&amp;"'!A1",INDEX(Sheetlist,(A17+1)))</f>
        <v>Reference (1_2_1_b)</v>
      </c>
    </row>
    <row r="18" spans="1:2" ht="60" customHeight="1" x14ac:dyDescent="0.35">
      <c r="A18" s="21">
        <v>18</v>
      </c>
      <c r="B18" s="22" t="str" cm="1">
        <f t="array" ref="B18">HYPERLINK("#'"&amp;INDEX(Sheetlist,(A18+1))&amp;"'!A1",INDEX(Sheetlist,(A18+1)))</f>
        <v>Employment Gaps</v>
      </c>
    </row>
    <row r="19" spans="1:2" ht="40" customHeight="1" x14ac:dyDescent="0.35">
      <c r="A19" s="23">
        <v>19</v>
      </c>
      <c r="B19" s="24" t="str" cm="1">
        <f t="array" ref="B19">HYPERLINK("#'"&amp;INDEX(Sheetlist,(A19+1))&amp;"'!A1",INDEX(Sheetlist,(A19+1)))</f>
        <v>Gender (1_2_2_a)</v>
      </c>
    </row>
    <row r="20" spans="1:2" ht="40" customHeight="1" x14ac:dyDescent="0.35">
      <c r="A20" s="23">
        <v>20</v>
      </c>
      <c r="B20" s="24" t="str" cm="1">
        <f t="array" ref="B20">HYPERLINK("#'"&amp;INDEX(Sheetlist,(A20+1))&amp;"'!A1",INDEX(Sheetlist,(A20+1)))</f>
        <v>Disability Status (1_2_2_b)</v>
      </c>
    </row>
    <row r="21" spans="1:2" ht="40" customHeight="1" x14ac:dyDescent="0.35">
      <c r="A21" s="23">
        <v>21</v>
      </c>
      <c r="B21" s="24" t="str" cm="1">
        <f t="array" ref="B21">HYPERLINK("#'"&amp;INDEX(Sheetlist,(A21+1))&amp;"'!A1",INDEX(Sheetlist,(A21+1)))</f>
        <v>Minority Ethnic (1_2_2_c)</v>
      </c>
    </row>
    <row r="22" spans="1:2" ht="40" customHeight="1" x14ac:dyDescent="0.35">
      <c r="A22" s="23">
        <v>22</v>
      </c>
      <c r="B22" s="24" t="str" cm="1">
        <f t="array" ref="B22">HYPERLINK("#'"&amp;INDEX(Sheetlist,(A22+1))&amp;"'!A1",INDEX(Sheetlist,(A22+1)))</f>
        <v>Ethnic Group (1_2_2_d)</v>
      </c>
    </row>
    <row r="23" spans="1:2" ht="60" customHeight="1" x14ac:dyDescent="0.35">
      <c r="A23" s="21">
        <v>23</v>
      </c>
      <c r="B23" s="22" t="str" cm="1">
        <f t="array" ref="B23">HYPERLINK("#'"&amp;INDEX(Sheetlist,(A23+1))&amp;"'!A1",INDEX(Sheetlist,(A23+1)))</f>
        <v>Work-Life Balance</v>
      </c>
    </row>
    <row r="24" spans="1:2" ht="40" customHeight="1" x14ac:dyDescent="0.35">
      <c r="A24" s="23">
        <v>24</v>
      </c>
      <c r="B24" s="24" t="str" cm="1">
        <f t="array" ref="B24">HYPERLINK("#'"&amp;INDEX(Sheetlist,(A24+1))&amp;"'!A1",INDEX(Sheetlist,(A24+1)))</f>
        <v>Flexible Working (1_2_3_a)</v>
      </c>
    </row>
    <row r="25" spans="1:2" ht="40" customHeight="1" x14ac:dyDescent="0.35">
      <c r="A25" s="23">
        <v>25</v>
      </c>
      <c r="B25" s="24" t="str" cm="1">
        <f t="array" ref="B25">HYPERLINK("#'"&amp;INDEX(Sheetlist,(A25+1))&amp;"'!A1",INDEX(Sheetlist,(A25+1)))</f>
        <v>Overemployment (1_2_3_b)</v>
      </c>
    </row>
    <row r="26" spans="1:2" ht="60" customHeight="1" x14ac:dyDescent="0.35">
      <c r="A26" s="21">
        <v>26</v>
      </c>
      <c r="B26" s="22" t="str" cm="1">
        <f t="array" ref="B26">HYPERLINK("#'"&amp;INDEX(Sheetlist,(A26+1))&amp;"'!A1",INDEX(Sheetlist,(A26+1)))</f>
        <v>Insecure Employment</v>
      </c>
    </row>
    <row r="27" spans="1:2" ht="40" customHeight="1" x14ac:dyDescent="0.35">
      <c r="A27" s="23">
        <v>27</v>
      </c>
      <c r="B27" s="24" t="str" cm="1">
        <f t="array" ref="B27">HYPERLINK("#'"&amp;INDEX(Sheetlist,(A27+1))&amp;"'!A1",INDEX(Sheetlist,(A27+1)))</f>
        <v>Total (1_2_4_a)</v>
      </c>
    </row>
    <row r="28" spans="1:2" ht="40" customHeight="1" x14ac:dyDescent="0.35">
      <c r="A28" s="23">
        <v>28</v>
      </c>
      <c r="B28" s="47" t="e" cm="1" vm="1">
        <f t="array" ref="B28">HYPERLINK("#'"&amp;INDEX(Sheetlist,(A28+1))&amp;"'!A1",INDEX(Sheetlist,(A28+1)))</f>
        <v>#NAME?</v>
      </c>
    </row>
    <row r="29" spans="1:2" ht="40" customHeight="1" x14ac:dyDescent="0.35">
      <c r="A29" s="23">
        <v>29</v>
      </c>
      <c r="B29" s="24" t="str" cm="1">
        <f t="array" ref="B29">HYPERLINK("#'"&amp;INDEX(Sheetlist,(A29+1))&amp;"'!A1",INDEX(Sheetlist,(A29+1)))</f>
        <v>Zero Hours By Age (1_2_4_c)</v>
      </c>
    </row>
    <row r="30" spans="1:2" ht="100" customHeight="1" x14ac:dyDescent="0.35">
      <c r="A30" s="27">
        <v>30</v>
      </c>
      <c r="B30" s="28" t="str" cm="1">
        <f t="array" ref="B30">HYPERLINK("#'"&amp;INDEX(Sheetlist,(A30+1))&amp;"'!A1",INDEX(Sheetlist,(A30+1)))</f>
        <v>Equal Opportunities</v>
      </c>
    </row>
    <row r="31" spans="1:2" ht="90" customHeight="1" x14ac:dyDescent="0.35">
      <c r="A31" s="29">
        <v>31</v>
      </c>
      <c r="B31" s="30" t="str" cm="1">
        <f t="array" ref="B31">HYPERLINK("#'"&amp;INDEX(Sheetlist,(A31+1))&amp;"'!A1",INDEX(Sheetlist,(A31+1)))</f>
        <v>Accessing Employment</v>
      </c>
    </row>
    <row r="32" spans="1:2" ht="60" customHeight="1" x14ac:dyDescent="0.35">
      <c r="A32" s="31">
        <v>32</v>
      </c>
      <c r="B32" s="32" t="str" cm="1">
        <f t="array" ref="B32">HYPERLINK("#'"&amp;INDEX(Sheetlist,(A32+1))&amp;"'!A1",INDEX(Sheetlist,(A32+1)))</f>
        <v>Unemployment Rate</v>
      </c>
    </row>
    <row r="33" spans="1:2" ht="40" customHeight="1" x14ac:dyDescent="0.35">
      <c r="A33" s="33">
        <v>33</v>
      </c>
      <c r="B33" s="34" t="str" cm="1">
        <f t="array" ref="B33">HYPERLINK("#'"&amp;INDEX(Sheetlist,(A33+1))&amp;"'!A1",INDEX(Sheetlist,(A33+1)))</f>
        <v>Total (2_1_1_a)</v>
      </c>
    </row>
    <row r="34" spans="1:2" ht="40" customHeight="1" x14ac:dyDescent="0.35">
      <c r="A34" s="33">
        <v>34</v>
      </c>
      <c r="B34" s="34" t="str" cm="1">
        <f t="array" ref="B34">HYPERLINK("#'"&amp;INDEX(Sheetlist,(A34+1))&amp;"'!A1",INDEX(Sheetlist,(A34+1)))</f>
        <v>Gender-Ethnic Group (2_1_1_b)</v>
      </c>
    </row>
    <row r="35" spans="1:2" ht="60" customHeight="1" x14ac:dyDescent="0.35">
      <c r="A35" s="31">
        <v>35</v>
      </c>
      <c r="B35" s="32" t="str" cm="1">
        <f t="array" ref="B35">HYPERLINK("#'"&amp;INDEX(Sheetlist,(A35+1))&amp;"'!A1",INDEX(Sheetlist,(A35+1)))</f>
        <v>Underemployment</v>
      </c>
    </row>
    <row r="36" spans="1:2" ht="40" customHeight="1" x14ac:dyDescent="0.35">
      <c r="A36" s="33">
        <v>36</v>
      </c>
      <c r="B36" s="34" t="str" cm="1">
        <f t="array" ref="B36">HYPERLINK("#'"&amp;INDEX(Sheetlist,(A36+1))&amp;"'!A1",INDEX(Sheetlist,(A36+1)))</f>
        <v>Total (2_1_2_a)</v>
      </c>
    </row>
    <row r="37" spans="1:2" ht="60" customHeight="1" x14ac:dyDescent="0.35">
      <c r="A37" s="31">
        <v>37</v>
      </c>
      <c r="B37" s="32" t="str" cm="1">
        <f t="array" ref="B37">HYPERLINK("#'"&amp;INDEX(Sheetlist,(A37+1))&amp;"'!A1",INDEX(Sheetlist,(A37+1)))</f>
        <v>Underutility</v>
      </c>
    </row>
    <row r="38" spans="1:2" s="9" customFormat="1" ht="40" customHeight="1" x14ac:dyDescent="0.35">
      <c r="A38" s="33">
        <v>38</v>
      </c>
      <c r="B38" s="34" t="str" cm="1">
        <f t="array" ref="B38">HYPERLINK("#'"&amp;INDEX(Sheetlist,(A38+1))&amp;"'!A1",INDEX(Sheetlist,(A38+1)))</f>
        <v>Total (2_1_3_a)</v>
      </c>
    </row>
    <row r="39" spans="1:2" s="9" customFormat="1" ht="60" customHeight="1" x14ac:dyDescent="0.35">
      <c r="A39" s="31">
        <v>39</v>
      </c>
      <c r="B39" s="32" t="str" cm="1">
        <f t="array" ref="B39">HYPERLINK("#'"&amp;INDEX(Sheetlist,(A39+1))&amp;"'!A1",INDEX(Sheetlist,(A39+1)))</f>
        <v>Parental Employment</v>
      </c>
    </row>
    <row r="40" spans="1:2" s="9" customFormat="1" ht="40" customHeight="1" x14ac:dyDescent="0.35">
      <c r="A40" s="33">
        <v>40</v>
      </c>
      <c r="B40" s="34" t="str" cm="1">
        <f t="array" ref="B40">HYPERLINK("#'"&amp;INDEX(Sheetlist,(A40+1))&amp;"'!A1",INDEX(Sheetlist,(A40+1)))</f>
        <v>Total (2_1_4_a)</v>
      </c>
    </row>
    <row r="41" spans="1:2" s="9" customFormat="1" ht="40" customHeight="1" x14ac:dyDescent="0.35">
      <c r="A41" s="33">
        <v>41</v>
      </c>
      <c r="B41" s="34" t="str" cm="1">
        <f t="array" ref="B41">HYPERLINK("#'"&amp;INDEX(Sheetlist,(A41+1))&amp;"'!A1",INDEX(Sheetlist,(A41+1)))</f>
        <v>Ethnic Group (2_1_4_b)</v>
      </c>
    </row>
    <row r="42" spans="1:2" s="9" customFormat="1" ht="40" customHeight="1" x14ac:dyDescent="0.35">
      <c r="A42" s="33">
        <v>42</v>
      </c>
      <c r="B42" s="34" t="str" cm="1">
        <f t="array" ref="B42">HYPERLINK("#'"&amp;INDEX(Sheetlist,(A42+1))&amp;"'!A1",INDEX(Sheetlist,(A42+1)))</f>
        <v>Household Composition (2_1_4_c)</v>
      </c>
    </row>
    <row r="43" spans="1:2" ht="90" customHeight="1" x14ac:dyDescent="0.35">
      <c r="A43" s="29">
        <v>43</v>
      </c>
      <c r="B43" s="30" t="str" cm="1">
        <f t="array" ref="B43">HYPERLINK("#'"&amp;INDEX(Sheetlist,(A43+1))&amp;"'!A1",INDEX(Sheetlist,(A43+1)))</f>
        <v>Equal Life Chances</v>
      </c>
    </row>
    <row r="44" spans="1:2" ht="60" customHeight="1" x14ac:dyDescent="0.35">
      <c r="A44" s="31">
        <v>44</v>
      </c>
      <c r="B44" s="32" t="str" cm="1">
        <f t="array" ref="B44">HYPERLINK("#'"&amp;INDEX(Sheetlist,(A44+1))&amp;"'!A1",INDEX(Sheetlist,(A44+1)))</f>
        <v>School Readiness</v>
      </c>
    </row>
    <row r="45" spans="1:2" ht="40" customHeight="1" x14ac:dyDescent="0.35">
      <c r="A45" s="33">
        <v>45</v>
      </c>
      <c r="B45" s="34" t="str" cm="1">
        <f t="array" ref="B45">HYPERLINK("#'"&amp;INDEX(Sheetlist,(A45+1))&amp;"'!A1",INDEX(Sheetlist,(A45+1)))</f>
        <v>Total (2_2_1_a)</v>
      </c>
    </row>
    <row r="46" spans="1:2" ht="60" customHeight="1" x14ac:dyDescent="0.35">
      <c r="A46" s="31">
        <v>46</v>
      </c>
      <c r="B46" s="32" t="str" cm="1">
        <f t="array" ref="B46">HYPERLINK("#'"&amp;INDEX(Sheetlist,(A46+1))&amp;"'!A1",INDEX(Sheetlist,(A46+1)))</f>
        <v>KS4 Achievment</v>
      </c>
    </row>
    <row r="47" spans="1:2" ht="40" customHeight="1" x14ac:dyDescent="0.35">
      <c r="A47" s="33">
        <v>47</v>
      </c>
      <c r="B47" s="34" t="str" cm="1">
        <f t="array" ref="B47">HYPERLINK("#'"&amp;INDEX(Sheetlist,(A47+1))&amp;"'!A1",INDEX(Sheetlist,(A47+1)))</f>
        <v>Total (2_2_2_a)</v>
      </c>
    </row>
    <row r="48" spans="1:2" ht="40" customHeight="1" x14ac:dyDescent="0.35">
      <c r="A48" s="33">
        <v>48</v>
      </c>
      <c r="B48" s="34" t="str" cm="1">
        <f t="array" ref="B48">HYPERLINK("#'"&amp;INDEX(Sheetlist,(A48+1))&amp;"'!A1",INDEX(Sheetlist,(A48+1)))</f>
        <v>Ethnic Group (2_2_2_b)</v>
      </c>
    </row>
    <row r="49" spans="1:2" ht="40" customHeight="1" x14ac:dyDescent="0.35">
      <c r="A49" s="33">
        <v>49</v>
      </c>
      <c r="B49" s="34" t="str" cm="1">
        <f t="array" ref="B49">HYPERLINK("#'"&amp;INDEX(Sheetlist,(A49+1))&amp;"'!A1",INDEX(Sheetlist,(A49+1)))</f>
        <v>Gender (2_2_2_c)</v>
      </c>
    </row>
    <row r="50" spans="1:2" ht="40" customHeight="1" x14ac:dyDescent="0.35">
      <c r="A50" s="33">
        <v>50</v>
      </c>
      <c r="B50" s="34" t="str" cm="1">
        <f t="array" ref="B50">HYPERLINK("#'"&amp;INDEX(Sheetlist,(A50+1))&amp;"'!A1",INDEX(Sheetlist,(A50+1)))</f>
        <v>First Language (2_2_2_d)</v>
      </c>
    </row>
    <row r="51" spans="1:2" ht="40" customHeight="1" x14ac:dyDescent="0.35">
      <c r="A51" s="33">
        <v>51</v>
      </c>
      <c r="B51" s="34" t="str" cm="1">
        <f t="array" ref="B51">HYPERLINK("#'"&amp;INDEX(Sheetlist,(A51+1))&amp;"'!A1",INDEX(Sheetlist,(A51+1)))</f>
        <v>FSM Status (2_2_2_e)</v>
      </c>
    </row>
    <row r="52" spans="1:2" ht="40" customHeight="1" x14ac:dyDescent="0.35">
      <c r="A52" s="33">
        <v>52</v>
      </c>
      <c r="B52" s="34" t="str" cm="1">
        <f t="array" ref="B52">HYPERLINK("#'"&amp;INDEX(Sheetlist,(A52+1))&amp;"'!A1",INDEX(Sheetlist,(A52+1)))</f>
        <v>SEN Status (2_2_2_f)</v>
      </c>
    </row>
    <row r="53" spans="1:2" ht="40" customHeight="1" x14ac:dyDescent="0.35">
      <c r="A53" s="33">
        <v>53</v>
      </c>
      <c r="B53" s="34" t="str" cm="1">
        <f t="array" ref="B53">HYPERLINK("#'"&amp;INDEX(Sheetlist,(A53+1))&amp;"'!A1",INDEX(Sheetlist,(A53+1)))</f>
        <v>Disadvantaged Status (2_2_2_g)</v>
      </c>
    </row>
    <row r="54" spans="1:2" ht="60" customHeight="1" x14ac:dyDescent="0.35">
      <c r="A54" s="31">
        <v>54</v>
      </c>
      <c r="B54" s="32" t="str" cm="1">
        <f t="array" ref="B54">HYPERLINK("#'"&amp;INDEX(Sheetlist,(A54+1))&amp;"'!A1",INDEX(Sheetlist,(A54+1)))</f>
        <v>NoLow Qualifications</v>
      </c>
    </row>
    <row r="55" spans="1:2" ht="40" customHeight="1" x14ac:dyDescent="0.35">
      <c r="A55" s="33">
        <v>55</v>
      </c>
      <c r="B55" s="34" t="str" cm="1">
        <f t="array" ref="B55">HYPERLINK("#'"&amp;INDEX(Sheetlist,(A55+1))&amp;"'!A1",INDEX(Sheetlist,(A55+1)))</f>
        <v>Total (2_2_3_a)</v>
      </c>
    </row>
    <row r="56" spans="1:2" ht="40" customHeight="1" x14ac:dyDescent="0.35">
      <c r="A56" s="33">
        <v>56</v>
      </c>
      <c r="B56" s="34" t="str" cm="1">
        <f t="array" ref="B56">HYPERLINK("#'"&amp;INDEX(Sheetlist,(A56+1))&amp;"'!A1",INDEX(Sheetlist,(A56+1)))</f>
        <v>Region (2_2_3_b)</v>
      </c>
    </row>
    <row r="57" spans="1:2" ht="60" customHeight="1" x14ac:dyDescent="0.35">
      <c r="A57" s="31">
        <v>57</v>
      </c>
      <c r="B57" s="32" t="str" cm="1">
        <f t="array" ref="B57">HYPERLINK("#'"&amp;INDEX(Sheetlist,(A57+1))&amp;"'!A1",INDEX(Sheetlist,(A57+1)))</f>
        <v>NEET</v>
      </c>
    </row>
    <row r="58" spans="1:2" ht="40" customHeight="1" x14ac:dyDescent="0.35">
      <c r="A58" s="33">
        <v>58</v>
      </c>
      <c r="B58" s="34" t="str" cm="1">
        <f t="array" ref="B58">HYPERLINK("#'"&amp;INDEX(Sheetlist,(A58+1))&amp;"'!A1",INDEX(Sheetlist,(A58+1)))</f>
        <v>Total (2_2_4_a)</v>
      </c>
    </row>
    <row r="59" spans="1:2" ht="60" customHeight="1" x14ac:dyDescent="0.35">
      <c r="A59" s="31">
        <v>59</v>
      </c>
      <c r="B59" s="32" t="str" cm="1">
        <f t="array" ref="B59">HYPERLINK("#'"&amp;INDEX(Sheetlist,(A59+1))&amp;"'!A1",INDEX(Sheetlist,(A59+1)))</f>
        <v>In Work Training</v>
      </c>
    </row>
    <row r="60" spans="1:2" ht="40" customHeight="1" x14ac:dyDescent="0.35">
      <c r="A60" s="33">
        <v>60</v>
      </c>
      <c r="B60" s="34" t="str" cm="1">
        <f t="array" ref="B60">HYPERLINK("#'"&amp;INDEX(Sheetlist,(A60+1))&amp;"'!A1",INDEX(Sheetlist,(A60+1)))</f>
        <v>Total (2_2_5_a)</v>
      </c>
    </row>
    <row r="61" spans="1:2" ht="60" customHeight="1" x14ac:dyDescent="0.35">
      <c r="A61" s="31">
        <v>61</v>
      </c>
      <c r="B61" s="32" t="str" cm="1">
        <f t="array" ref="B61">HYPERLINK("#'"&amp;INDEX(Sheetlist,(A61+1))&amp;"'!A1",INDEX(Sheetlist,(A61+1)))</f>
        <v>Apprenticeships</v>
      </c>
    </row>
    <row r="62" spans="1:2" ht="40" customHeight="1" x14ac:dyDescent="0.35">
      <c r="A62" s="33">
        <v>62</v>
      </c>
      <c r="B62" s="34" t="str" cm="1">
        <f t="array" ref="B62">HYPERLINK("#'"&amp;INDEX(Sheetlist,(A62+1))&amp;"'!A1",INDEX(Sheetlist,(A62+1)))</f>
        <v>London (2_2_6_a)</v>
      </c>
    </row>
    <row r="63" spans="1:2" ht="40" customHeight="1" x14ac:dyDescent="0.35">
      <c r="A63" s="33">
        <v>63</v>
      </c>
      <c r="B63" s="34" t="str" cm="1">
        <f t="array" ref="B63">HYPERLINK("#'"&amp;INDEX(Sheetlist,(A63+1))&amp;"'!A1",INDEX(Sheetlist,(A63+1)))</f>
        <v>UK (2_2_6_b)</v>
      </c>
    </row>
    <row r="64" spans="1:2" ht="40" customHeight="1" x14ac:dyDescent="0.35">
      <c r="A64" s="33">
        <v>64</v>
      </c>
      <c r="B64" s="34" t="str" cm="1">
        <f t="array" ref="B64">HYPERLINK("#'"&amp;INDEX(Sheetlist,(A64+1))&amp;"'!A1",INDEX(Sheetlist,(A64+1)))</f>
        <v>London-UK (2_2_6_c)</v>
      </c>
    </row>
    <row r="65" spans="1:2" ht="60" customHeight="1" x14ac:dyDescent="0.35">
      <c r="A65" s="31">
        <v>65</v>
      </c>
      <c r="B65" s="32" t="str" cm="1">
        <f t="array" ref="B65">HYPERLINK("#'"&amp;INDEX(Sheetlist,(A65+1))&amp;"'!A1",INDEX(Sheetlist,(A65+1)))</f>
        <v>Income Inequality</v>
      </c>
    </row>
    <row r="66" spans="1:2" ht="40" customHeight="1" x14ac:dyDescent="0.35">
      <c r="A66" s="33">
        <v>66</v>
      </c>
      <c r="B66" s="34" t="str" cm="1">
        <f t="array" ref="B66">HYPERLINK("#'"&amp;INDEX(Sheetlist,(A66+1))&amp;"'!A1",INDEX(Sheetlist,(A66+1)))</f>
        <v>Difference (2_2_7_a)</v>
      </c>
    </row>
    <row r="67" spans="1:2" ht="40" customHeight="1" x14ac:dyDescent="0.35">
      <c r="A67" s="33">
        <v>67</v>
      </c>
      <c r="B67" s="34" t="str" cm="1">
        <f t="array" ref="B67">HYPERLINK("#'"&amp;INDEX(Sheetlist,(A67+1))&amp;"'!A1",INDEX(Sheetlist,(A67+1)))</f>
        <v>90-10 Ratio (2_2_7_b)</v>
      </c>
    </row>
    <row r="68" spans="1:2" ht="60" customHeight="1" x14ac:dyDescent="0.35">
      <c r="A68" s="31">
        <v>68</v>
      </c>
      <c r="B68" s="32" t="str" cm="1">
        <f t="array" ref="B68">HYPERLINK("#'"&amp;INDEX(Sheetlist,(A68+1))&amp;"'!A1",INDEX(Sheetlist,(A68+1)))</f>
        <v>Wealth Inequality</v>
      </c>
    </row>
    <row r="69" spans="1:2" ht="40" customHeight="1" x14ac:dyDescent="0.35">
      <c r="A69" s="33">
        <v>69</v>
      </c>
      <c r="B69" s="34" t="str" cm="1">
        <f t="array" ref="B69">HYPERLINK("#'"&amp;INDEX(Sheetlist,(A69+1))&amp;"'!A1",INDEX(Sheetlist,(A69+1)))</f>
        <v>Decile (2_2_8_a)</v>
      </c>
    </row>
    <row r="70" spans="1:2" ht="100" customHeight="1" x14ac:dyDescent="0.35">
      <c r="A70" s="35">
        <v>70</v>
      </c>
      <c r="B70" s="36" t="str" cm="1">
        <f t="array" ref="B70">HYPERLINK("#'"&amp;INDEX(Sheetlist,(A70+1))&amp;"'!A1",INDEX(Sheetlist,(A70+1)))</f>
        <v>Raising Living Standards</v>
      </c>
    </row>
    <row r="71" spans="1:2" ht="90" customHeight="1" x14ac:dyDescent="0.35">
      <c r="A71" s="37">
        <v>71</v>
      </c>
      <c r="B71" s="38" t="str" cm="1">
        <f t="array" ref="B71">HYPERLINK("#'"&amp;INDEX(Sheetlist,(A71+1))&amp;"'!A1",INDEX(Sheetlist,(A71+1)))</f>
        <v>Cost of Living</v>
      </c>
    </row>
    <row r="72" spans="1:2" ht="60" customHeight="1" x14ac:dyDescent="0.35">
      <c r="A72" s="39">
        <v>72</v>
      </c>
      <c r="B72" s="40" t="str" cm="1">
        <f t="array" ref="B72">HYPERLINK("#'"&amp;INDEX(Sheetlist,(A72+1))&amp;"'!A1",INDEX(Sheetlist,(A72+1)))</f>
        <v>Disposable Income</v>
      </c>
    </row>
    <row r="73" spans="1:2" ht="40" customHeight="1" x14ac:dyDescent="0.35">
      <c r="A73" s="33">
        <v>73</v>
      </c>
      <c r="B73" s="34" t="str" cm="1">
        <f t="array" ref="B73">HYPERLINK("#'"&amp;INDEX(Sheetlist,(A73+1))&amp;"'!A1",INDEX(Sheetlist,(A73+1)))</f>
        <v>Total (3_1_1_a)</v>
      </c>
    </row>
    <row r="74" spans="1:2" ht="60" customHeight="1" x14ac:dyDescent="0.35">
      <c r="A74" s="39">
        <v>74</v>
      </c>
      <c r="B74" s="40" t="str" cm="1">
        <f t="array" ref="B74">HYPERLINK("#'"&amp;INDEX(Sheetlist,(A74+1))&amp;"'!A1",INDEX(Sheetlist,(A74+1)))</f>
        <v>Childcare Costs</v>
      </c>
    </row>
    <row r="75" spans="1:2" ht="40" customHeight="1" x14ac:dyDescent="0.35">
      <c r="A75" s="33">
        <v>75</v>
      </c>
      <c r="B75" s="34" t="str" cm="1">
        <f t="array" ref="B75">HYPERLINK("#'"&amp;INDEX(Sheetlist,(A75+1))&amp;"'!A1",INDEX(Sheetlist,(A75+1)))</f>
        <v>Total (3_1_2_a)</v>
      </c>
    </row>
    <row r="76" spans="1:2" ht="60" customHeight="1" x14ac:dyDescent="0.35">
      <c r="A76" s="39">
        <v>76</v>
      </c>
      <c r="B76" s="40" t="str" cm="1">
        <f t="array" ref="B76">HYPERLINK("#'"&amp;INDEX(Sheetlist,(A76+1))&amp;"'!A1",INDEX(Sheetlist,(A76+1)))</f>
        <v>Energy Efficiency</v>
      </c>
    </row>
    <row r="77" spans="1:2" ht="40" customHeight="1" x14ac:dyDescent="0.35">
      <c r="A77" s="33">
        <v>77</v>
      </c>
      <c r="B77" s="34" t="str" cm="1">
        <f t="array" ref="B77">HYPERLINK("#'"&amp;INDEX(Sheetlist,(A77+1))&amp;"'!A1",INDEX(Sheetlist,(A77+1)))</f>
        <v>Total (3_1_3_a)</v>
      </c>
    </row>
    <row r="78" spans="1:2" ht="60" customHeight="1" x14ac:dyDescent="0.35">
      <c r="A78" s="39">
        <v>78</v>
      </c>
      <c r="B78" s="40" t="str" cm="1">
        <f t="array" ref="B78">HYPERLINK("#'"&amp;INDEX(Sheetlist,(A78+1))&amp;"'!A1",INDEX(Sheetlist,(A78+1)))</f>
        <v>Fuel Poverty</v>
      </c>
    </row>
    <row r="79" spans="1:2" ht="40" customHeight="1" x14ac:dyDescent="0.35">
      <c r="A79" s="33">
        <v>79</v>
      </c>
      <c r="B79" s="34" t="str" cm="1">
        <f t="array" ref="B79">HYPERLINK("#'"&amp;INDEX(Sheetlist,(A79+1))&amp;"'!A1",INDEX(Sheetlist,(A79+1)))</f>
        <v>Total (3_1_4_a)</v>
      </c>
    </row>
    <row r="80" spans="1:2" ht="90" customHeight="1" x14ac:dyDescent="0.35">
      <c r="A80" s="37">
        <v>80</v>
      </c>
      <c r="B80" s="38" t="str" cm="1">
        <f t="array" ref="B80">HYPERLINK("#'"&amp;INDEX(Sheetlist,(A80+1))&amp;"'!A1",INDEX(Sheetlist,(A80+1)))</f>
        <v>Reducing Poverty</v>
      </c>
    </row>
    <row r="81" spans="1:2" ht="60" customHeight="1" x14ac:dyDescent="0.35">
      <c r="A81" s="39">
        <v>81</v>
      </c>
      <c r="B81" s="40" t="str" cm="1">
        <f t="array" ref="B81">HYPERLINK("#'"&amp;INDEX(Sheetlist,(A81+1))&amp;"'!A1",INDEX(Sheetlist,(A81+1)))</f>
        <v>Population In Poverty</v>
      </c>
    </row>
    <row r="82" spans="1:2" ht="40" customHeight="1" x14ac:dyDescent="0.35">
      <c r="A82" s="33">
        <v>82</v>
      </c>
      <c r="B82" s="34" t="str" cm="1">
        <f t="array" ref="B82">HYPERLINK("#'"&amp;INDEX(Sheetlist,(A82+1))&amp;"'!A1",INDEX(Sheetlist,(A82+1)))</f>
        <v>Total (3_2_1_a)</v>
      </c>
    </row>
    <row r="83" spans="1:2" ht="40" customHeight="1" x14ac:dyDescent="0.35">
      <c r="A83" s="33">
        <v>83</v>
      </c>
      <c r="B83" s="34" t="str" cm="1">
        <f t="array" ref="B83">HYPERLINK("#'"&amp;INDEX(Sheetlist,(A83+1))&amp;"'!A1",INDEX(Sheetlist,(A83+1)))</f>
        <v>Age (3_2_1_b)</v>
      </c>
    </row>
    <row r="84" spans="1:2" ht="60" customHeight="1" x14ac:dyDescent="0.35">
      <c r="A84" s="39">
        <v>84</v>
      </c>
      <c r="B84" s="40" t="str" cm="1">
        <f t="array" ref="B84">HYPERLINK("#'"&amp;INDEX(Sheetlist,(A84+1))&amp;"'!A1",INDEX(Sheetlist,(A84+1)))</f>
        <v>Persistent Poverty</v>
      </c>
    </row>
    <row r="85" spans="1:2" ht="40" customHeight="1" x14ac:dyDescent="0.35">
      <c r="A85" s="33">
        <v>85</v>
      </c>
      <c r="B85" s="34" t="str" cm="1">
        <f t="array" ref="B85">HYPERLINK("#'"&amp;INDEX(Sheetlist,(A85+1))&amp;"'!A1",INDEX(Sheetlist,(A85+1)))</f>
        <v>Total (3_2_2_a)</v>
      </c>
    </row>
    <row r="86" spans="1:2" ht="60" customHeight="1" x14ac:dyDescent="0.35">
      <c r="A86" s="39">
        <v>86</v>
      </c>
      <c r="B86" s="40" t="str" cm="1">
        <f t="array" ref="B86">HYPERLINK("#'"&amp;INDEX(Sheetlist,(A86+1))&amp;"'!A1",INDEX(Sheetlist,(A86+1)))</f>
        <v>Absolute Poverty</v>
      </c>
    </row>
    <row r="87" spans="1:2" ht="40" customHeight="1" x14ac:dyDescent="0.35">
      <c r="A87" s="33">
        <v>87</v>
      </c>
      <c r="B87" s="34" t="str" cm="1">
        <f t="array" ref="B87">HYPERLINK("#'"&amp;INDEX(Sheetlist,(A87+1))&amp;"'!A1",INDEX(Sheetlist,(A87+1)))</f>
        <v>Total (3_2_3_a)</v>
      </c>
    </row>
    <row r="88" spans="1:2" ht="40" customHeight="1" x14ac:dyDescent="0.35">
      <c r="A88" s="33">
        <v>88</v>
      </c>
      <c r="B88" s="34" t="str" cm="1">
        <f t="array" ref="B88">HYPERLINK("#'"&amp;INDEX(Sheetlist,(A88+1))&amp;"'!A1",INDEX(Sheetlist,(A88+1)))</f>
        <v>Age (3_2_3_b)</v>
      </c>
    </row>
    <row r="89" spans="1:2" ht="60" customHeight="1" x14ac:dyDescent="0.35">
      <c r="A89" s="39">
        <v>89</v>
      </c>
      <c r="B89" s="40" t="str" cm="1">
        <f t="array" ref="B89">HYPERLINK("#'"&amp;INDEX(Sheetlist,(A89+1))&amp;"'!A1",INDEX(Sheetlist,(A89+1)))</f>
        <v>Material Deprivation</v>
      </c>
    </row>
    <row r="90" spans="1:2" ht="40" customHeight="1" x14ac:dyDescent="0.35">
      <c r="A90" s="33">
        <v>90</v>
      </c>
      <c r="B90" s="34" t="str" cm="1">
        <f t="array" ref="B90">HYPERLINK("#'"&amp;INDEX(Sheetlist,(A90+1))&amp;"'!A1",INDEX(Sheetlist,(A90+1)))</f>
        <v>Pensioners (3_2_4_a)</v>
      </c>
    </row>
    <row r="91" spans="1:2" ht="40" customHeight="1" x14ac:dyDescent="0.35">
      <c r="A91" s="33">
        <v>91</v>
      </c>
      <c r="B91" s="34" t="str" cm="1">
        <f t="array" ref="B91">HYPERLINK("#'"&amp;INDEX(Sheetlist,(A91+1))&amp;"'!A1",INDEX(Sheetlist,(A91+1)))</f>
        <v>WA (3_2_4_b)</v>
      </c>
    </row>
    <row r="92" spans="1:2" ht="40" customHeight="1" x14ac:dyDescent="0.35">
      <c r="A92" s="33">
        <v>92</v>
      </c>
      <c r="B92" s="34" t="str" cm="1">
        <f t="array" ref="B92">HYPERLINK("#'"&amp;INDEX(Sheetlist,(A92+1))&amp;"'!A1",INDEX(Sheetlist,(A92+1)))</f>
        <v>Children (3_2_4_c)</v>
      </c>
    </row>
    <row r="93" spans="1:2" ht="60" customHeight="1" x14ac:dyDescent="0.35">
      <c r="A93" s="39">
        <v>93</v>
      </c>
      <c r="B93" s="40" t="str" cm="1">
        <f t="array" ref="B93">HYPERLINK("#'"&amp;INDEX(Sheetlist,(A93+1))&amp;"'!A1",INDEX(Sheetlist,(A93+1)))</f>
        <v>Homelessness</v>
      </c>
    </row>
    <row r="94" spans="1:2" ht="40" customHeight="1" x14ac:dyDescent="0.35">
      <c r="A94" s="33">
        <v>94</v>
      </c>
      <c r="B94" s="34" t="str" cm="1">
        <f t="array" ref="B94">HYPERLINK("#'"&amp;INDEX(Sheetlist,(A94+1))&amp;"'!A1",INDEX(Sheetlist,(A94+1)))</f>
        <v>Rough Sleeping (3_2_5_a)</v>
      </c>
    </row>
    <row r="95" spans="1:2" ht="40" customHeight="1" x14ac:dyDescent="0.35">
      <c r="A95" s="33">
        <v>95</v>
      </c>
      <c r="B95" s="34" t="str" cm="1">
        <f t="array" ref="B95">HYPERLINK("#'"&amp;INDEX(Sheetlist,(A95+1))&amp;"'!A1",INDEX(Sheetlist,(A95+1)))</f>
        <v>Temp Housing (3_2_5_b)</v>
      </c>
    </row>
    <row r="96" spans="1:2" ht="40" customHeight="1" x14ac:dyDescent="0.35">
      <c r="A96" s="33">
        <v>96</v>
      </c>
      <c r="B96" s="34" t="str" cm="1">
        <f t="array" ref="B96">HYPERLINK("#'"&amp;INDEX(Sheetlist,(A96+1))&amp;"'!A1",INDEX(Sheetlist,(A96+1)))</f>
        <v>Temp Housing Old (3_2_5_c)</v>
      </c>
    </row>
    <row r="97" spans="1:2" ht="60" customHeight="1" x14ac:dyDescent="0.35">
      <c r="A97" s="39">
        <v>97</v>
      </c>
      <c r="B97" s="40" t="str" cm="1">
        <f t="array" ref="B97">HYPERLINK("#'"&amp;INDEX(Sheetlist,(A97+1))&amp;"'!A1",INDEX(Sheetlist,(A97+1)))</f>
        <v>Problem Debt</v>
      </c>
    </row>
    <row r="98" spans="1:2" ht="40" customHeight="1" x14ac:dyDescent="0.35">
      <c r="A98" s="33">
        <v>98</v>
      </c>
      <c r="B98" s="34" t="str" cm="1">
        <f t="array" ref="B98">HYPERLINK("#'"&amp;INDEX(Sheetlist,(A98+1))&amp;"'!A1",INDEX(Sheetlist,(A98+1)))</f>
        <v>Total (3_2_6_a)</v>
      </c>
    </row>
    <row r="99" spans="1:2" ht="90" customHeight="1" x14ac:dyDescent="0.35">
      <c r="A99" s="37">
        <v>99</v>
      </c>
      <c r="B99" s="38" t="str" cm="1">
        <f t="array" ref="B99">HYPERLINK("#'"&amp;INDEX(Sheetlist,(A99+1))&amp;"'!A1",INDEX(Sheetlist,(A99+1)))</f>
        <v>Financial Inclusion</v>
      </c>
    </row>
    <row r="100" spans="1:2" ht="60" customHeight="1" x14ac:dyDescent="0.35">
      <c r="A100" s="39">
        <v>100</v>
      </c>
      <c r="B100" s="40" t="str" cm="1">
        <f t="array" ref="B100">HYPERLINK("#'"&amp;INDEX(Sheetlist,(A100+1))&amp;"'!A1",INDEX(Sheetlist,(A100+1)))</f>
        <v>Savings</v>
      </c>
    </row>
    <row r="101" spans="1:2" ht="40" customHeight="1" x14ac:dyDescent="0.35">
      <c r="A101" s="33">
        <v>101</v>
      </c>
      <c r="B101" s="34" t="str" cm="1">
        <f t="array" ref="B101">HYPERLINK("#'"&amp;INDEX(Sheetlist,(A101+1))&amp;"'!A1",INDEX(Sheetlist,(A101+1)))</f>
        <v>Total (3_3_1_a)</v>
      </c>
    </row>
    <row r="102" spans="1:2" ht="60" customHeight="1" x14ac:dyDescent="0.35">
      <c r="A102" s="39">
        <v>102</v>
      </c>
      <c r="B102" s="40" t="str" cm="1">
        <f t="array" ref="B102">HYPERLINK("#'"&amp;INDEX(Sheetlist,(A102+1))&amp;"'!A1",INDEX(Sheetlist,(A102+1)))</f>
        <v>Access To Bank Accounts</v>
      </c>
    </row>
    <row r="103" spans="1:2" ht="40" customHeight="1" x14ac:dyDescent="0.35">
      <c r="A103" s="33">
        <v>103</v>
      </c>
      <c r="B103" s="34" t="str" cm="1">
        <f t="array" ref="B103">HYPERLINK("#'"&amp;INDEX(Sheetlist,(A103+1))&amp;"'!A1",INDEX(Sheetlist,(A103+1)))</f>
        <v>Total (3_3_2_a)</v>
      </c>
    </row>
    <row r="104" spans="1:2" ht="60" customHeight="1" x14ac:dyDescent="0.35">
      <c r="A104" s="39">
        <v>104</v>
      </c>
      <c r="B104" s="40" t="str" cm="1">
        <f t="array" ref="B104">HYPERLINK("#'"&amp;INDEX(Sheetlist,(A104+1))&amp;"'!A1",INDEX(Sheetlist,(A104+1)))</f>
        <v>Insolvencies</v>
      </c>
    </row>
    <row r="105" spans="1:2" ht="40" customHeight="1" x14ac:dyDescent="0.35">
      <c r="A105" s="33">
        <v>105</v>
      </c>
      <c r="B105" s="34" t="str" cm="1">
        <f t="array" ref="B105">HYPERLINK("#'"&amp;INDEX(Sheetlist,(A105+1))&amp;"'!A1",INDEX(Sheetlist,(A105+1)))</f>
        <v>Total (3_3_3_a)</v>
      </c>
    </row>
    <row r="106" spans="1:2" ht="40" customHeight="1" x14ac:dyDescent="0.35">
      <c r="A106" s="33">
        <v>106</v>
      </c>
      <c r="B106" s="34" t="str" cm="1">
        <f t="array" ref="B106">HYPERLINK("#'"&amp;INDEX(Sheetlist,(A106+1))&amp;"'!A1",INDEX(Sheetlist,(A106+1)))</f>
        <v>Region (3_3_3_b)</v>
      </c>
    </row>
    <row r="107" spans="1:2" ht="28.5" x14ac:dyDescent="0.65">
      <c r="B107" s="42"/>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177E7-D5CA-4804-8010-5102C4959671}">
  <sheetPr codeName="Sheet2">
    <tabColor theme="4" tint="-0.499984740745262"/>
  </sheetPr>
  <dimension ref="L1:M1"/>
  <sheetViews>
    <sheetView workbookViewId="0">
      <selection activeCell="M10" sqref="M10"/>
    </sheetView>
  </sheetViews>
  <sheetFormatPr defaultRowHeight="15.5" x14ac:dyDescent="0.35"/>
  <cols>
    <col min="13" max="13" width="12.69140625" customWidth="1"/>
  </cols>
  <sheetData>
    <row r="1" spans="12:13" x14ac:dyDescent="0.35">
      <c r="L1" s="44"/>
      <c r="M1" s="44" t="s">
        <v>253</v>
      </c>
    </row>
  </sheetData>
  <hyperlinks>
    <hyperlink ref="M1" location="Index" display="Back to Index" xr:uid="{27C91F87-8367-48AE-A8D7-D1EC766E1714}"/>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42A51-7CE6-49F2-8280-5EBA6AF62B63}">
  <sheetPr codeName="Sheet3">
    <tabColor theme="4" tint="0.39997558519241921"/>
  </sheetPr>
  <dimension ref="M1"/>
  <sheetViews>
    <sheetView workbookViewId="0"/>
  </sheetViews>
  <sheetFormatPr defaultRowHeight="15.5" x14ac:dyDescent="0.35"/>
  <sheetData>
    <row r="1" spans="13:13" x14ac:dyDescent="0.35">
      <c r="M1" s="44" t="s">
        <v>253</v>
      </c>
    </row>
  </sheetData>
  <hyperlinks>
    <hyperlink ref="M1" location="Index" display="Back to Index" xr:uid="{E38B0BE4-75FD-412D-A7B0-2890B5EA5F96}"/>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7BF10-DE9F-4240-8913-390047F89681}">
  <sheetPr codeName="Sheet4">
    <tabColor theme="4"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EC7CA36E-9D44-4790-8D2D-69869E932AA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4D226-6376-4927-BBCC-E33C33D5791C}">
  <sheetPr codeName="Sheet5">
    <tabColor theme="0"/>
  </sheetPr>
  <dimension ref="A1:M28"/>
  <sheetViews>
    <sheetView workbookViewId="0">
      <selection activeCell="M1" sqref="M1"/>
    </sheetView>
  </sheetViews>
  <sheetFormatPr defaultRowHeight="15.5" x14ac:dyDescent="0.35"/>
  <sheetData>
    <row r="1" spans="1:13" x14ac:dyDescent="0.35">
      <c r="A1" t="s">
        <v>5</v>
      </c>
      <c r="B1" t="s">
        <v>6</v>
      </c>
      <c r="C1" t="s">
        <v>7</v>
      </c>
      <c r="M1" s="44" t="s">
        <v>253</v>
      </c>
    </row>
    <row r="2" spans="1:13" x14ac:dyDescent="0.35">
      <c r="A2">
        <v>1997</v>
      </c>
      <c r="B2">
        <v>22.4</v>
      </c>
      <c r="C2">
        <v>27.5</v>
      </c>
    </row>
    <row r="3" spans="1:13" x14ac:dyDescent="0.35">
      <c r="A3">
        <v>1998</v>
      </c>
      <c r="B3">
        <v>22</v>
      </c>
      <c r="C3">
        <v>27.3</v>
      </c>
    </row>
    <row r="4" spans="1:13" x14ac:dyDescent="0.35">
      <c r="A4">
        <v>1999</v>
      </c>
      <c r="B4">
        <v>21.9</v>
      </c>
      <c r="C4">
        <v>27</v>
      </c>
    </row>
    <row r="5" spans="1:13" x14ac:dyDescent="0.35">
      <c r="A5">
        <v>2000</v>
      </c>
      <c r="B5">
        <v>23.9</v>
      </c>
      <c r="C5">
        <v>26.7</v>
      </c>
    </row>
    <row r="6" spans="1:13" x14ac:dyDescent="0.35">
      <c r="A6">
        <v>2001</v>
      </c>
      <c r="B6">
        <v>23.4</v>
      </c>
      <c r="C6">
        <v>26.4</v>
      </c>
    </row>
    <row r="7" spans="1:13" x14ac:dyDescent="0.35">
      <c r="A7">
        <v>2002</v>
      </c>
      <c r="B7">
        <v>23.3</v>
      </c>
      <c r="C7">
        <v>26.9</v>
      </c>
    </row>
    <row r="8" spans="1:13" x14ac:dyDescent="0.35">
      <c r="A8">
        <v>2003</v>
      </c>
      <c r="B8">
        <v>22.6</v>
      </c>
      <c r="C8">
        <v>25.1</v>
      </c>
    </row>
    <row r="9" spans="1:13" x14ac:dyDescent="0.35">
      <c r="A9">
        <v>2004</v>
      </c>
      <c r="B9">
        <v>20.399999999999999</v>
      </c>
      <c r="C9">
        <v>24.7</v>
      </c>
    </row>
    <row r="10" spans="1:13" x14ac:dyDescent="0.35">
      <c r="A10">
        <v>2005</v>
      </c>
      <c r="B10">
        <v>19.8</v>
      </c>
      <c r="C10">
        <v>22.7</v>
      </c>
    </row>
    <row r="11" spans="1:13" x14ac:dyDescent="0.35">
      <c r="A11">
        <v>2006</v>
      </c>
      <c r="B11">
        <v>18.8</v>
      </c>
      <c r="C11">
        <v>22.2</v>
      </c>
    </row>
    <row r="12" spans="1:13" x14ac:dyDescent="0.35">
      <c r="A12">
        <v>2007</v>
      </c>
      <c r="B12">
        <v>18.3</v>
      </c>
      <c r="C12">
        <v>21.9</v>
      </c>
    </row>
    <row r="13" spans="1:13" x14ac:dyDescent="0.35">
      <c r="A13">
        <v>2008</v>
      </c>
      <c r="B13">
        <v>19.3</v>
      </c>
      <c r="C13">
        <v>22.5</v>
      </c>
    </row>
    <row r="14" spans="1:13" x14ac:dyDescent="0.35">
      <c r="A14">
        <v>2009</v>
      </c>
      <c r="B14">
        <v>17.600000000000001</v>
      </c>
      <c r="C14">
        <v>22</v>
      </c>
    </row>
    <row r="15" spans="1:13" x14ac:dyDescent="0.35">
      <c r="A15">
        <v>2010</v>
      </c>
      <c r="B15">
        <v>17.100000000000001</v>
      </c>
      <c r="C15">
        <v>19.899999999999999</v>
      </c>
    </row>
    <row r="16" spans="1:13" x14ac:dyDescent="0.35">
      <c r="A16">
        <v>2011</v>
      </c>
      <c r="B16">
        <v>18.899999999999999</v>
      </c>
      <c r="C16">
        <v>20.2</v>
      </c>
    </row>
    <row r="17" spans="1:3" x14ac:dyDescent="0.35">
      <c r="A17">
        <v>2012</v>
      </c>
      <c r="B17">
        <v>15.5</v>
      </c>
      <c r="C17">
        <v>19.600000000000001</v>
      </c>
    </row>
    <row r="18" spans="1:3" x14ac:dyDescent="0.35">
      <c r="A18">
        <v>2013</v>
      </c>
      <c r="B18">
        <v>17</v>
      </c>
      <c r="C18">
        <v>19.8</v>
      </c>
    </row>
    <row r="19" spans="1:3" x14ac:dyDescent="0.35">
      <c r="A19">
        <v>2014</v>
      </c>
      <c r="B19">
        <v>15.6</v>
      </c>
      <c r="C19">
        <v>19.2</v>
      </c>
    </row>
    <row r="20" spans="1:3" x14ac:dyDescent="0.35">
      <c r="A20">
        <v>2015</v>
      </c>
      <c r="B20">
        <v>16.3</v>
      </c>
      <c r="C20">
        <v>19.3</v>
      </c>
    </row>
    <row r="21" spans="1:3" x14ac:dyDescent="0.35">
      <c r="A21">
        <v>2016</v>
      </c>
      <c r="B21">
        <v>16.2</v>
      </c>
      <c r="C21">
        <v>18.2</v>
      </c>
    </row>
    <row r="22" spans="1:3" x14ac:dyDescent="0.35">
      <c r="A22">
        <v>2017</v>
      </c>
      <c r="B22">
        <v>16.7</v>
      </c>
      <c r="C22">
        <v>18.399999999999999</v>
      </c>
    </row>
    <row r="23" spans="1:3" x14ac:dyDescent="0.35">
      <c r="A23">
        <v>2018</v>
      </c>
      <c r="B23">
        <v>16.7</v>
      </c>
      <c r="C23">
        <v>17.899999999999999</v>
      </c>
    </row>
    <row r="24" spans="1:3" x14ac:dyDescent="0.35">
      <c r="A24">
        <v>2019</v>
      </c>
      <c r="B24">
        <v>17.600000000000001</v>
      </c>
      <c r="C24">
        <v>17.399999999999999</v>
      </c>
    </row>
    <row r="25" spans="1:3" x14ac:dyDescent="0.35">
      <c r="A25">
        <v>2020</v>
      </c>
      <c r="B25">
        <v>17.7</v>
      </c>
      <c r="C25">
        <v>14.8</v>
      </c>
    </row>
    <row r="26" spans="1:3" x14ac:dyDescent="0.35">
      <c r="A26">
        <v>2021</v>
      </c>
      <c r="B26">
        <v>16.100000000000001</v>
      </c>
      <c r="C26">
        <v>15.1</v>
      </c>
    </row>
    <row r="27" spans="1:3" x14ac:dyDescent="0.35">
      <c r="A27">
        <v>2022</v>
      </c>
      <c r="B27">
        <v>12.5</v>
      </c>
      <c r="C27">
        <v>14.4</v>
      </c>
    </row>
    <row r="28" spans="1:3" x14ac:dyDescent="0.35">
      <c r="A28">
        <v>2023</v>
      </c>
      <c r="B28">
        <v>13.6</v>
      </c>
      <c r="C28">
        <v>14.3</v>
      </c>
    </row>
  </sheetData>
  <hyperlinks>
    <hyperlink ref="M1" location="Index" display="Back to Index" xr:uid="{ECBE1F1A-3AFF-4565-9222-D9B51CFBA18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3A32B-9098-475E-9369-4350C5A57F95}">
  <sheetPr codeName="Sheet6">
    <tabColor theme="0"/>
  </sheetPr>
  <dimension ref="A1:M28"/>
  <sheetViews>
    <sheetView workbookViewId="0">
      <selection activeCell="M1" sqref="M1"/>
    </sheetView>
  </sheetViews>
  <sheetFormatPr defaultRowHeight="15.5" x14ac:dyDescent="0.35"/>
  <sheetData>
    <row r="1" spans="1:13" x14ac:dyDescent="0.35">
      <c r="A1" t="s">
        <v>0</v>
      </c>
      <c r="B1" t="s">
        <v>1</v>
      </c>
      <c r="C1" t="s">
        <v>2</v>
      </c>
      <c r="D1" t="s">
        <v>3</v>
      </c>
      <c r="E1" t="s">
        <v>4</v>
      </c>
      <c r="M1" s="44" t="s">
        <v>253</v>
      </c>
    </row>
    <row r="2" spans="1:13" x14ac:dyDescent="0.35">
      <c r="A2">
        <v>1997</v>
      </c>
      <c r="B2">
        <v>15.1</v>
      </c>
      <c r="C2">
        <v>17.399999999999999</v>
      </c>
      <c r="D2">
        <v>-9.1</v>
      </c>
      <c r="E2">
        <v>0.62761506300000003</v>
      </c>
    </row>
    <row r="3" spans="1:13" x14ac:dyDescent="0.35">
      <c r="A3">
        <v>1998</v>
      </c>
      <c r="B3">
        <v>15</v>
      </c>
      <c r="C3">
        <v>17.399999999999999</v>
      </c>
      <c r="D3">
        <v>-14.5</v>
      </c>
      <c r="E3">
        <v>-4</v>
      </c>
    </row>
    <row r="4" spans="1:13" x14ac:dyDescent="0.35">
      <c r="A4">
        <v>1999</v>
      </c>
      <c r="B4">
        <v>14.7</v>
      </c>
      <c r="C4">
        <v>16.399999999999999</v>
      </c>
      <c r="D4">
        <v>-16.3</v>
      </c>
      <c r="E4">
        <v>-2.6</v>
      </c>
    </row>
    <row r="5" spans="1:13" x14ac:dyDescent="0.35">
      <c r="A5">
        <v>2000</v>
      </c>
      <c r="B5">
        <v>16</v>
      </c>
      <c r="C5">
        <v>16.3</v>
      </c>
      <c r="D5">
        <v>-10.1</v>
      </c>
      <c r="E5">
        <v>-3.5</v>
      </c>
    </row>
    <row r="6" spans="1:13" x14ac:dyDescent="0.35">
      <c r="A6">
        <v>2001</v>
      </c>
      <c r="B6">
        <v>14.5</v>
      </c>
      <c r="C6">
        <v>16.399999999999999</v>
      </c>
      <c r="D6">
        <v>-13.5</v>
      </c>
      <c r="E6">
        <v>-3.8</v>
      </c>
    </row>
    <row r="7" spans="1:13" x14ac:dyDescent="0.35">
      <c r="A7">
        <v>2002</v>
      </c>
      <c r="B7">
        <v>14.5</v>
      </c>
      <c r="C7">
        <v>15.5</v>
      </c>
      <c r="D7">
        <v>-8.6999999999999993</v>
      </c>
      <c r="E7">
        <v>-0.5</v>
      </c>
    </row>
    <row r="8" spans="1:13" x14ac:dyDescent="0.35">
      <c r="A8">
        <v>2003</v>
      </c>
      <c r="B8">
        <v>14.8</v>
      </c>
      <c r="C8">
        <v>14.6</v>
      </c>
      <c r="D8">
        <v>-11.7</v>
      </c>
      <c r="E8">
        <v>-1.3</v>
      </c>
    </row>
    <row r="9" spans="1:13" x14ac:dyDescent="0.35">
      <c r="A9">
        <v>2004</v>
      </c>
      <c r="B9">
        <v>14.6</v>
      </c>
      <c r="C9">
        <v>14.5</v>
      </c>
      <c r="D9">
        <v>-11.9</v>
      </c>
      <c r="E9">
        <v>-2.6</v>
      </c>
    </row>
    <row r="10" spans="1:13" x14ac:dyDescent="0.35">
      <c r="A10">
        <v>2005</v>
      </c>
      <c r="B10">
        <v>14.5</v>
      </c>
      <c r="C10">
        <v>13</v>
      </c>
      <c r="D10">
        <v>-16.8</v>
      </c>
      <c r="E10">
        <v>-3.1</v>
      </c>
    </row>
    <row r="11" spans="1:13" x14ac:dyDescent="0.35">
      <c r="A11">
        <v>2006</v>
      </c>
      <c r="B11">
        <v>13.3</v>
      </c>
      <c r="C11">
        <v>12.9</v>
      </c>
      <c r="D11">
        <v>-14.5</v>
      </c>
      <c r="E11">
        <v>-2.2000000000000002</v>
      </c>
    </row>
    <row r="12" spans="1:13" x14ac:dyDescent="0.35">
      <c r="A12">
        <v>2007</v>
      </c>
      <c r="B12">
        <v>13.4</v>
      </c>
      <c r="C12">
        <v>12.4</v>
      </c>
      <c r="D12">
        <v>-13.6</v>
      </c>
      <c r="E12">
        <v>-2.2000000000000002</v>
      </c>
    </row>
    <row r="13" spans="1:13" x14ac:dyDescent="0.35">
      <c r="A13">
        <v>2008</v>
      </c>
      <c r="B13">
        <v>13.7</v>
      </c>
      <c r="C13">
        <v>12.6</v>
      </c>
      <c r="D13">
        <v>-9.5</v>
      </c>
      <c r="E13">
        <v>-3.6</v>
      </c>
    </row>
    <row r="14" spans="1:13" x14ac:dyDescent="0.35">
      <c r="A14">
        <v>2009</v>
      </c>
      <c r="B14">
        <v>13.1</v>
      </c>
      <c r="C14">
        <v>12.2</v>
      </c>
      <c r="D14">
        <v>-9.8000000000000007</v>
      </c>
      <c r="E14">
        <v>-2.6</v>
      </c>
    </row>
    <row r="15" spans="1:13" x14ac:dyDescent="0.35">
      <c r="A15">
        <v>2010</v>
      </c>
      <c r="B15">
        <v>12.5</v>
      </c>
      <c r="C15">
        <v>10.1</v>
      </c>
      <c r="D15">
        <v>-8.8000000000000007</v>
      </c>
      <c r="E15">
        <v>-4.3</v>
      </c>
    </row>
    <row r="16" spans="1:13" x14ac:dyDescent="0.35">
      <c r="A16">
        <v>2011</v>
      </c>
      <c r="B16">
        <v>14.2</v>
      </c>
      <c r="C16">
        <v>10.4</v>
      </c>
      <c r="D16">
        <v>-10.199999999999999</v>
      </c>
      <c r="E16">
        <v>-5.0999999999999996</v>
      </c>
    </row>
    <row r="17" spans="1:5" x14ac:dyDescent="0.35">
      <c r="A17">
        <v>2012</v>
      </c>
      <c r="B17">
        <v>12.1</v>
      </c>
      <c r="C17">
        <v>9.5</v>
      </c>
      <c r="D17">
        <v>-12.9</v>
      </c>
      <c r="E17">
        <v>-5.4</v>
      </c>
    </row>
    <row r="18" spans="1:5" x14ac:dyDescent="0.35">
      <c r="A18">
        <v>2013</v>
      </c>
      <c r="B18">
        <v>12.9</v>
      </c>
      <c r="C18">
        <v>10</v>
      </c>
      <c r="D18">
        <v>-11.5</v>
      </c>
      <c r="E18">
        <v>-5.8</v>
      </c>
    </row>
    <row r="19" spans="1:5" x14ac:dyDescent="0.35">
      <c r="A19">
        <v>2014</v>
      </c>
      <c r="B19">
        <v>12.2</v>
      </c>
      <c r="C19">
        <v>9.6</v>
      </c>
      <c r="D19">
        <v>-15.5</v>
      </c>
      <c r="E19">
        <v>-5.5</v>
      </c>
    </row>
    <row r="20" spans="1:5" x14ac:dyDescent="0.35">
      <c r="A20">
        <v>2015</v>
      </c>
      <c r="B20">
        <v>11.9</v>
      </c>
      <c r="C20">
        <v>9.6999999999999993</v>
      </c>
      <c r="D20">
        <v>-8.1999999999999993</v>
      </c>
      <c r="E20">
        <v>-6.7</v>
      </c>
    </row>
    <row r="21" spans="1:5" x14ac:dyDescent="0.35">
      <c r="A21">
        <v>2016</v>
      </c>
      <c r="B21">
        <v>12.9</v>
      </c>
      <c r="C21">
        <v>9.5</v>
      </c>
      <c r="D21">
        <v>-9.8000000000000007</v>
      </c>
      <c r="E21">
        <v>-6.1</v>
      </c>
    </row>
    <row r="22" spans="1:5" x14ac:dyDescent="0.35">
      <c r="A22">
        <v>2017</v>
      </c>
      <c r="B22">
        <v>14.4</v>
      </c>
      <c r="C22">
        <v>9.1</v>
      </c>
      <c r="D22">
        <v>-7.5</v>
      </c>
      <c r="E22">
        <v>-5.4</v>
      </c>
    </row>
    <row r="23" spans="1:5" x14ac:dyDescent="0.35">
      <c r="A23">
        <v>2018</v>
      </c>
      <c r="B23">
        <v>13.6</v>
      </c>
      <c r="C23">
        <v>8.6</v>
      </c>
      <c r="D23">
        <v>-7.3</v>
      </c>
      <c r="E23">
        <v>-5</v>
      </c>
    </row>
    <row r="24" spans="1:5" x14ac:dyDescent="0.35">
      <c r="A24">
        <v>2019</v>
      </c>
      <c r="B24">
        <v>14</v>
      </c>
      <c r="C24">
        <v>9</v>
      </c>
      <c r="D24">
        <v>-6.8</v>
      </c>
      <c r="E24">
        <v>-3.5</v>
      </c>
    </row>
    <row r="25" spans="1:5" x14ac:dyDescent="0.35">
      <c r="A25">
        <v>2020</v>
      </c>
      <c r="B25">
        <v>14</v>
      </c>
      <c r="C25">
        <v>7</v>
      </c>
      <c r="D25">
        <v>-7.6</v>
      </c>
      <c r="E25">
        <v>-3.5</v>
      </c>
    </row>
    <row r="26" spans="1:5" x14ac:dyDescent="0.35">
      <c r="A26">
        <v>2021</v>
      </c>
      <c r="B26">
        <v>12.4</v>
      </c>
      <c r="C26">
        <v>7.7</v>
      </c>
      <c r="D26">
        <v>-9.4</v>
      </c>
      <c r="E26">
        <v>-3.1</v>
      </c>
    </row>
    <row r="27" spans="1:5" x14ac:dyDescent="0.35">
      <c r="A27">
        <v>2022</v>
      </c>
      <c r="B27">
        <v>10.4</v>
      </c>
      <c r="C27">
        <v>7.6</v>
      </c>
      <c r="D27">
        <v>-9.6</v>
      </c>
      <c r="E27">
        <v>-3.3</v>
      </c>
    </row>
    <row r="28" spans="1:5" x14ac:dyDescent="0.35">
      <c r="A28">
        <v>2023</v>
      </c>
      <c r="B28">
        <v>11.9</v>
      </c>
      <c r="C28">
        <v>7.7</v>
      </c>
      <c r="D28">
        <v>-10</v>
      </c>
      <c r="E28">
        <v>-3.3</v>
      </c>
    </row>
  </sheetData>
  <hyperlinks>
    <hyperlink ref="M1" location="Index" display="Back to Index" xr:uid="{329667A4-180E-41C3-ACF3-982FF53410F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F0AFB-1658-4185-9265-C3425192EF57}">
  <sheetPr codeName="Sheet7">
    <tabColor theme="4"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478CC448-37C3-4A6B-A9E5-4F3EDB895D1A}"/>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DED5B-A3CB-4C3E-A48F-8DC410012C68}">
  <sheetPr codeName="Sheet8">
    <tabColor theme="0"/>
  </sheetPr>
  <dimension ref="A1:M10"/>
  <sheetViews>
    <sheetView workbookViewId="0">
      <selection activeCell="M1" sqref="M1"/>
    </sheetView>
  </sheetViews>
  <sheetFormatPr defaultRowHeight="15.5" x14ac:dyDescent="0.35"/>
  <sheetData>
    <row r="1" spans="1:13" x14ac:dyDescent="0.35">
      <c r="A1" t="s">
        <v>0</v>
      </c>
      <c r="B1" t="s">
        <v>6</v>
      </c>
      <c r="C1" t="s">
        <v>22</v>
      </c>
      <c r="D1" t="s">
        <v>21</v>
      </c>
      <c r="M1" s="44" t="s">
        <v>253</v>
      </c>
    </row>
    <row r="2" spans="1:13" x14ac:dyDescent="0.35">
      <c r="A2">
        <v>2014</v>
      </c>
      <c r="B2" s="1">
        <v>0.27600000000000002</v>
      </c>
      <c r="C2" s="1">
        <v>0.123</v>
      </c>
      <c r="D2" t="s">
        <v>20</v>
      </c>
    </row>
    <row r="3" spans="1:13" x14ac:dyDescent="0.35">
      <c r="A3">
        <v>2015</v>
      </c>
      <c r="B3" s="1">
        <v>0.30099999999999999</v>
      </c>
      <c r="C3" s="1">
        <v>0.111</v>
      </c>
      <c r="D3" t="s">
        <v>19</v>
      </c>
    </row>
    <row r="4" spans="1:13" x14ac:dyDescent="0.35">
      <c r="A4">
        <v>2016</v>
      </c>
      <c r="B4" s="1">
        <v>0.27</v>
      </c>
      <c r="C4" s="1">
        <v>8.5000000000000006E-2</v>
      </c>
      <c r="D4" t="s">
        <v>19</v>
      </c>
    </row>
    <row r="5" spans="1:13" x14ac:dyDescent="0.35">
      <c r="A5">
        <v>2017</v>
      </c>
      <c r="B5" s="1">
        <v>0.28299999999999997</v>
      </c>
      <c r="C5" s="1">
        <v>8.3000000000000004E-2</v>
      </c>
      <c r="D5" t="s">
        <v>19</v>
      </c>
    </row>
    <row r="6" spans="1:13" x14ac:dyDescent="0.35">
      <c r="A6">
        <v>2018</v>
      </c>
      <c r="B6" s="1">
        <v>0.26600000000000001</v>
      </c>
      <c r="C6" s="1">
        <v>8.6999999999999994E-2</v>
      </c>
      <c r="D6" t="s">
        <v>19</v>
      </c>
    </row>
    <row r="7" spans="1:13" x14ac:dyDescent="0.35">
      <c r="A7">
        <v>2019</v>
      </c>
      <c r="B7" s="1">
        <v>0.28199999999999997</v>
      </c>
      <c r="C7" s="1">
        <v>5.5E-2</v>
      </c>
      <c r="D7" t="s">
        <v>19</v>
      </c>
    </row>
    <row r="8" spans="1:13" x14ac:dyDescent="0.35">
      <c r="A8">
        <v>2020</v>
      </c>
      <c r="B8" s="1">
        <v>0.23699999999999999</v>
      </c>
      <c r="C8" s="1">
        <v>2.9000000000000001E-2</v>
      </c>
      <c r="D8" t="s">
        <v>19</v>
      </c>
    </row>
    <row r="9" spans="1:13" x14ac:dyDescent="0.35">
      <c r="A9">
        <v>2021</v>
      </c>
      <c r="B9" s="1">
        <v>0.23300000000000001</v>
      </c>
      <c r="C9" s="1">
        <v>2.5000000000000001E-2</v>
      </c>
      <c r="D9" t="s">
        <v>19</v>
      </c>
    </row>
    <row r="10" spans="1:13" x14ac:dyDescent="0.35">
      <c r="A10">
        <v>2022</v>
      </c>
      <c r="B10" s="1">
        <v>0.22500000000000001</v>
      </c>
      <c r="C10" s="1">
        <v>8.9999999999999993E-3</v>
      </c>
      <c r="D10" t="s">
        <v>19</v>
      </c>
    </row>
  </sheetData>
  <hyperlinks>
    <hyperlink ref="M1" location="Index" display="Back to Index" xr:uid="{1A9303BD-0D8E-4D28-96C6-CF125E93E8F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50C01-F036-4D9B-895F-56CC271C26C9}">
  <sheetPr codeName="Sheet9">
    <tabColor theme="0"/>
  </sheetPr>
  <dimension ref="A1:M12"/>
  <sheetViews>
    <sheetView workbookViewId="0">
      <selection activeCell="M1" sqref="M1"/>
    </sheetView>
  </sheetViews>
  <sheetFormatPr defaultRowHeight="15.5" x14ac:dyDescent="0.35"/>
  <sheetData>
    <row r="1" spans="1:13" x14ac:dyDescent="0.35">
      <c r="A1" t="s">
        <v>8</v>
      </c>
      <c r="B1" t="s">
        <v>9</v>
      </c>
      <c r="C1" t="s">
        <v>10</v>
      </c>
      <c r="M1" s="44" t="s">
        <v>253</v>
      </c>
    </row>
    <row r="2" spans="1:13" x14ac:dyDescent="0.35">
      <c r="A2" t="s">
        <v>11</v>
      </c>
      <c r="B2" s="1">
        <v>0.22500000000000001</v>
      </c>
      <c r="C2" s="1">
        <v>8.9999999999999993E-3</v>
      </c>
    </row>
    <row r="3" spans="1:13" x14ac:dyDescent="0.35">
      <c r="A3" t="s">
        <v>12</v>
      </c>
      <c r="B3" s="1">
        <v>-3.4000000000000002E-2</v>
      </c>
      <c r="C3" s="1">
        <v>-0.26100000000000001</v>
      </c>
    </row>
    <row r="4" spans="1:13" x14ac:dyDescent="0.35">
      <c r="A4" t="s">
        <v>13</v>
      </c>
      <c r="B4" s="1">
        <v>-1.7000000000000001E-2</v>
      </c>
      <c r="C4" s="1">
        <v>-0.105</v>
      </c>
    </row>
    <row r="5" spans="1:13" x14ac:dyDescent="0.35">
      <c r="A5" t="s">
        <v>14</v>
      </c>
      <c r="B5" s="1">
        <v>0.36699999999999999</v>
      </c>
      <c r="C5" s="1">
        <v>0.152</v>
      </c>
    </row>
    <row r="6" spans="1:13" x14ac:dyDescent="0.35">
      <c r="A6" t="s">
        <v>15</v>
      </c>
      <c r="B6" s="1">
        <v>0.436</v>
      </c>
      <c r="C6" s="1">
        <v>0.18099999999999999</v>
      </c>
    </row>
    <row r="7" spans="1:13" x14ac:dyDescent="0.35">
      <c r="A7" t="s">
        <v>16</v>
      </c>
      <c r="B7" s="1">
        <v>0.33400000000000002</v>
      </c>
      <c r="C7" s="1">
        <v>6.8000000000000005E-2</v>
      </c>
    </row>
    <row r="8" spans="1:13" x14ac:dyDescent="0.35">
      <c r="A8" t="s">
        <v>17</v>
      </c>
      <c r="B8" s="1">
        <v>0.34</v>
      </c>
      <c r="C8" s="1">
        <v>1.2E-2</v>
      </c>
    </row>
    <row r="9" spans="1:13" x14ac:dyDescent="0.35">
      <c r="A9" t="s">
        <v>18</v>
      </c>
      <c r="B9" s="1">
        <v>0.214</v>
      </c>
      <c r="C9" s="1">
        <v>-9.2999999999999999E-2</v>
      </c>
    </row>
    <row r="12" spans="1:13" x14ac:dyDescent="0.35">
      <c r="A12" t="s">
        <v>25</v>
      </c>
    </row>
  </sheetData>
  <hyperlinks>
    <hyperlink ref="M1" location="Index" display="Back to Index" xr:uid="{A826048D-7E57-435F-9788-E972BBF6C54B}"/>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5AA4C-AF3E-480A-AC89-F850175E9095}">
  <sheetPr codeName="Sheet10">
    <tabColor theme="4"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2DEED47E-7957-446B-ACC5-CE2A88366A0F}"/>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7177F-A590-4397-B553-DD3163BA3BA3}">
  <sheetPr codeName="Sheet11">
    <tabColor theme="0"/>
  </sheetPr>
  <dimension ref="A1:M10"/>
  <sheetViews>
    <sheetView workbookViewId="0">
      <selection activeCell="M1" sqref="M1"/>
    </sheetView>
  </sheetViews>
  <sheetFormatPr defaultRowHeight="15.5" x14ac:dyDescent="0.35"/>
  <sheetData>
    <row r="1" spans="1:13" x14ac:dyDescent="0.35">
      <c r="A1" t="s">
        <v>0</v>
      </c>
      <c r="B1" t="s">
        <v>6</v>
      </c>
      <c r="C1" t="s">
        <v>7</v>
      </c>
      <c r="M1" s="44" t="s">
        <v>253</v>
      </c>
    </row>
    <row r="2" spans="1:13" x14ac:dyDescent="0.35">
      <c r="A2">
        <v>2014</v>
      </c>
      <c r="B2" s="1">
        <v>0.14199999999999999</v>
      </c>
      <c r="C2" s="1">
        <v>0.11899999999999999</v>
      </c>
    </row>
    <row r="3" spans="1:13" x14ac:dyDescent="0.35">
      <c r="A3">
        <v>2015</v>
      </c>
      <c r="B3" s="1">
        <v>0.152</v>
      </c>
      <c r="C3" s="1">
        <v>0.125</v>
      </c>
    </row>
    <row r="4" spans="1:13" x14ac:dyDescent="0.35">
      <c r="A4">
        <v>2016</v>
      </c>
      <c r="B4" s="1">
        <v>0.17</v>
      </c>
      <c r="C4" s="1">
        <v>0.128</v>
      </c>
    </row>
    <row r="5" spans="1:13" x14ac:dyDescent="0.35">
      <c r="A5">
        <v>2017</v>
      </c>
      <c r="B5" s="1">
        <v>0.123</v>
      </c>
      <c r="C5" s="1">
        <v>0.13200000000000001</v>
      </c>
    </row>
    <row r="6" spans="1:13" x14ac:dyDescent="0.35">
      <c r="A6">
        <v>2018</v>
      </c>
      <c r="B6" s="1">
        <v>0.17</v>
      </c>
      <c r="C6" s="1">
        <v>0.127</v>
      </c>
    </row>
    <row r="7" spans="1:13" x14ac:dyDescent="0.35">
      <c r="A7">
        <v>2019</v>
      </c>
      <c r="B7" s="1">
        <v>0.16600000000000001</v>
      </c>
      <c r="C7" s="1">
        <v>0.14799999999999999</v>
      </c>
    </row>
    <row r="8" spans="1:13" x14ac:dyDescent="0.35">
      <c r="A8">
        <v>2020</v>
      </c>
      <c r="B8" s="1">
        <v>0.16300000000000001</v>
      </c>
      <c r="C8" s="1">
        <v>0.13700000000000001</v>
      </c>
    </row>
    <row r="9" spans="1:13" x14ac:dyDescent="0.35">
      <c r="A9">
        <v>2021</v>
      </c>
      <c r="B9" s="1">
        <v>0.1</v>
      </c>
      <c r="C9" s="1">
        <v>0.14499999999999999</v>
      </c>
    </row>
    <row r="10" spans="1:13" x14ac:dyDescent="0.35">
      <c r="A10">
        <v>2022</v>
      </c>
      <c r="B10" s="1">
        <v>0.1</v>
      </c>
      <c r="C10" s="1">
        <v>0.14299999999999999</v>
      </c>
    </row>
  </sheetData>
  <hyperlinks>
    <hyperlink ref="M1" location="Index" display="Back to Index" xr:uid="{A2E9B402-7F95-464E-B931-4EB8165C0336}"/>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40CC5-609E-4273-AF23-B745E887CFCD}">
  <sheetPr codeName="Sheet12">
    <tabColor theme="4"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041B37A7-F1CD-4D0A-AAE4-272E0DCD93E2}"/>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7A498-2B21-49F1-9326-F6ED367F8411}">
  <sheetPr codeName="Sheet13">
    <tabColor theme="0"/>
  </sheetPr>
  <dimension ref="A1:M1"/>
  <sheetViews>
    <sheetView workbookViewId="0">
      <selection activeCell="M1" sqref="M1"/>
    </sheetView>
  </sheetViews>
  <sheetFormatPr defaultRowHeight="15.5" x14ac:dyDescent="0.35"/>
  <sheetData>
    <row r="1" spans="1:13" x14ac:dyDescent="0.35">
      <c r="A1" s="45" t="s">
        <v>23</v>
      </c>
      <c r="B1" s="45"/>
      <c r="C1" s="45"/>
      <c r="D1" s="45"/>
      <c r="E1" s="45"/>
      <c r="F1" s="45"/>
      <c r="G1" s="45"/>
      <c r="M1" s="44" t="s">
        <v>253</v>
      </c>
    </row>
  </sheetData>
  <mergeCells count="1">
    <mergeCell ref="A1:G1"/>
  </mergeCells>
  <hyperlinks>
    <hyperlink ref="M1" location="Index" display="Back to Index" xr:uid="{4C1BDE91-416B-4878-BEBD-F2A4DDB24CB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C8854-161F-45E1-A7EB-AC600FB5781A}">
  <sheetPr codeName="Sheet14">
    <tabColor theme="0"/>
  </sheetPr>
  <dimension ref="A1:M1"/>
  <sheetViews>
    <sheetView workbookViewId="0">
      <selection activeCell="M1" sqref="M1"/>
    </sheetView>
  </sheetViews>
  <sheetFormatPr defaultRowHeight="15.5" x14ac:dyDescent="0.35"/>
  <sheetData>
    <row r="1" spans="1:13" x14ac:dyDescent="0.35">
      <c r="A1" s="45" t="s">
        <v>24</v>
      </c>
      <c r="B1" s="45"/>
      <c r="C1" s="45"/>
      <c r="D1" s="45"/>
      <c r="E1" s="45"/>
      <c r="F1" s="45"/>
      <c r="G1" s="45"/>
      <c r="M1" s="44" t="s">
        <v>253</v>
      </c>
    </row>
  </sheetData>
  <mergeCells count="1">
    <mergeCell ref="A1:G1"/>
  </mergeCells>
  <hyperlinks>
    <hyperlink ref="M1" location="Index" display="Back to Index" xr:uid="{94BA428F-0215-4138-8E09-80119B0876D8}"/>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C59FF-078F-4B77-BD67-482F3CC89B4E}">
  <sheetPr codeName="Sheet15">
    <tabColor theme="4" tint="0.39997558519241921"/>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94B0DC9D-1B76-4A67-BF3F-0A3C09CD6A13}"/>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3E9E41-12DE-4ED1-ABB9-75EC369A9D9C}">
  <sheetPr codeName="Sheet16">
    <tabColor theme="4"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B03D14C8-6531-4ACA-B443-AFE7EFF2F31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9EA0-0005-4EAB-B287-93F427128C97}">
  <sheetPr codeName="Sheet17">
    <tabColor theme="0"/>
  </sheetPr>
  <dimension ref="A1:M1"/>
  <sheetViews>
    <sheetView workbookViewId="0">
      <selection activeCell="M1" sqref="M1"/>
    </sheetView>
  </sheetViews>
  <sheetFormatPr defaultRowHeight="15.5" x14ac:dyDescent="0.35"/>
  <sheetData>
    <row r="1" spans="1:13" x14ac:dyDescent="0.35">
      <c r="A1" s="45" t="s">
        <v>24</v>
      </c>
      <c r="B1" s="45"/>
      <c r="C1" s="45"/>
      <c r="D1" s="45"/>
      <c r="E1" s="45"/>
      <c r="F1" s="45"/>
      <c r="G1" s="45"/>
      <c r="M1" s="44" t="s">
        <v>253</v>
      </c>
    </row>
  </sheetData>
  <mergeCells count="1">
    <mergeCell ref="A1:G1"/>
  </mergeCells>
  <hyperlinks>
    <hyperlink ref="M1" location="Index" display="Back to Index" xr:uid="{9CF6732C-94AE-408F-B3EA-3CB0111A803C}"/>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9BCFD-7480-42D1-B87B-5B398C6F025F}">
  <sheetPr codeName="Sheet18">
    <tabColor theme="0"/>
  </sheetPr>
  <dimension ref="A1:M19"/>
  <sheetViews>
    <sheetView workbookViewId="0">
      <selection activeCell="M1" sqref="M1"/>
    </sheetView>
  </sheetViews>
  <sheetFormatPr defaultRowHeight="15.5" x14ac:dyDescent="0.35"/>
  <sheetData>
    <row r="1" spans="1:13" x14ac:dyDescent="0.35">
      <c r="A1" t="s">
        <v>26</v>
      </c>
      <c r="B1" t="s">
        <v>27</v>
      </c>
      <c r="C1" t="s">
        <v>28</v>
      </c>
      <c r="M1" s="44" t="s">
        <v>253</v>
      </c>
    </row>
    <row r="2" spans="1:13" x14ac:dyDescent="0.35">
      <c r="A2" s="3">
        <v>38443</v>
      </c>
      <c r="B2" s="4">
        <v>6.7</v>
      </c>
    </row>
    <row r="3" spans="1:13" x14ac:dyDescent="0.35">
      <c r="A3" s="3">
        <v>38808</v>
      </c>
      <c r="B3" s="4">
        <v>6.7</v>
      </c>
    </row>
    <row r="4" spans="1:13" x14ac:dyDescent="0.35">
      <c r="A4" s="3">
        <v>39173</v>
      </c>
      <c r="B4" s="4">
        <v>7.05</v>
      </c>
    </row>
    <row r="5" spans="1:13" x14ac:dyDescent="0.35">
      <c r="A5" s="3">
        <v>39539</v>
      </c>
      <c r="B5" s="4">
        <v>7.2</v>
      </c>
    </row>
    <row r="6" spans="1:13" x14ac:dyDescent="0.35">
      <c r="A6" s="3">
        <v>39904</v>
      </c>
      <c r="B6" s="4">
        <v>7.45</v>
      </c>
    </row>
    <row r="7" spans="1:13" x14ac:dyDescent="0.35">
      <c r="A7" s="3">
        <v>40269</v>
      </c>
      <c r="B7" s="4">
        <v>7.6</v>
      </c>
    </row>
    <row r="8" spans="1:13" x14ac:dyDescent="0.35">
      <c r="A8" s="3">
        <v>40634</v>
      </c>
      <c r="B8" s="4">
        <v>7.85</v>
      </c>
    </row>
    <row r="9" spans="1:13" x14ac:dyDescent="0.35">
      <c r="A9" s="3">
        <v>41000</v>
      </c>
      <c r="B9" s="4">
        <v>8.3000000000000007</v>
      </c>
      <c r="C9" s="4">
        <v>7.2</v>
      </c>
    </row>
    <row r="10" spans="1:13" x14ac:dyDescent="0.35">
      <c r="A10" s="3">
        <v>41365</v>
      </c>
      <c r="B10" s="4">
        <v>8.5500000000000007</v>
      </c>
      <c r="C10" s="4">
        <v>7.45</v>
      </c>
    </row>
    <row r="11" spans="1:13" x14ac:dyDescent="0.35">
      <c r="A11" s="3">
        <v>41730</v>
      </c>
      <c r="B11" s="4">
        <v>8.8000000000000007</v>
      </c>
      <c r="C11" s="4">
        <v>7.65</v>
      </c>
    </row>
    <row r="12" spans="1:13" x14ac:dyDescent="0.35">
      <c r="A12" s="3">
        <v>42095</v>
      </c>
      <c r="B12" s="4">
        <v>9.15</v>
      </c>
      <c r="C12" s="4">
        <v>7.85</v>
      </c>
    </row>
    <row r="13" spans="1:13" x14ac:dyDescent="0.35">
      <c r="A13" s="3">
        <v>42461</v>
      </c>
      <c r="B13" s="4">
        <v>9.4</v>
      </c>
      <c r="C13" s="4">
        <v>8.25</v>
      </c>
    </row>
    <row r="14" spans="1:13" x14ac:dyDescent="0.35">
      <c r="A14" s="3">
        <v>42826</v>
      </c>
      <c r="B14" s="4">
        <v>9.75</v>
      </c>
      <c r="C14" s="4">
        <v>8.4499999999999993</v>
      </c>
    </row>
    <row r="15" spans="1:13" x14ac:dyDescent="0.35">
      <c r="A15" s="3">
        <v>43191</v>
      </c>
      <c r="B15" s="4">
        <v>10.199999999999999</v>
      </c>
      <c r="C15" s="4">
        <v>8.75</v>
      </c>
    </row>
    <row r="16" spans="1:13" x14ac:dyDescent="0.35">
      <c r="A16" s="3">
        <v>43556</v>
      </c>
      <c r="B16" s="4">
        <v>10.55</v>
      </c>
      <c r="C16" s="4">
        <v>9</v>
      </c>
    </row>
    <row r="17" spans="1:3" x14ac:dyDescent="0.35">
      <c r="A17" s="3">
        <v>43922</v>
      </c>
      <c r="B17" s="4">
        <v>10.75</v>
      </c>
      <c r="C17" s="4">
        <v>9.3000000000000007</v>
      </c>
    </row>
    <row r="18" spans="1:3" x14ac:dyDescent="0.35">
      <c r="A18" s="3">
        <v>44287</v>
      </c>
      <c r="B18" s="4">
        <v>10.85</v>
      </c>
      <c r="C18" s="4">
        <v>9.5</v>
      </c>
    </row>
    <row r="19" spans="1:3" x14ac:dyDescent="0.35">
      <c r="A19" s="3">
        <v>44652</v>
      </c>
      <c r="B19" s="4">
        <v>11.05</v>
      </c>
      <c r="C19" s="4">
        <v>9.9</v>
      </c>
    </row>
  </sheetData>
  <hyperlinks>
    <hyperlink ref="M1" location="Index" display="Back to Index" xr:uid="{82090209-8491-4C3D-B942-1F31380200B2}"/>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7FF38-FD7F-443E-A8B9-0ED7E2FDCB0E}">
  <sheetPr codeName="Sheet19">
    <tabColor theme="4"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FDC81E29-1523-4520-AA30-DC83F8224EA1}"/>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6BB3D-8828-44B0-BEDF-90CB8EB8CF04}">
  <sheetPr codeName="Sheet20">
    <tabColor theme="0"/>
  </sheetPr>
  <dimension ref="A1:M21"/>
  <sheetViews>
    <sheetView workbookViewId="0">
      <selection activeCell="M1" sqref="M1"/>
    </sheetView>
  </sheetViews>
  <sheetFormatPr defaultRowHeight="15.5" x14ac:dyDescent="0.35"/>
  <sheetData>
    <row r="1" spans="1:13" x14ac:dyDescent="0.35">
      <c r="A1" t="s">
        <v>0</v>
      </c>
      <c r="B1" t="s">
        <v>29</v>
      </c>
      <c r="C1" t="s">
        <v>30</v>
      </c>
      <c r="M1" s="44" t="s">
        <v>253</v>
      </c>
    </row>
    <row r="2" spans="1:13" x14ac:dyDescent="0.35">
      <c r="A2">
        <v>2004</v>
      </c>
      <c r="B2">
        <v>75.8</v>
      </c>
      <c r="C2">
        <v>60.5</v>
      </c>
    </row>
    <row r="3" spans="1:13" x14ac:dyDescent="0.35">
      <c r="A3">
        <v>2005</v>
      </c>
      <c r="B3">
        <v>74.900000000000006</v>
      </c>
      <c r="C3">
        <v>61.2</v>
      </c>
    </row>
    <row r="4" spans="1:13" x14ac:dyDescent="0.35">
      <c r="A4">
        <v>2006</v>
      </c>
      <c r="B4">
        <v>75.400000000000006</v>
      </c>
      <c r="C4">
        <v>60.9</v>
      </c>
    </row>
    <row r="5" spans="1:13" x14ac:dyDescent="0.35">
      <c r="A5">
        <v>2007</v>
      </c>
      <c r="B5">
        <v>76.2</v>
      </c>
      <c r="C5">
        <v>61</v>
      </c>
    </row>
    <row r="6" spans="1:13" x14ac:dyDescent="0.35">
      <c r="A6">
        <v>2008</v>
      </c>
      <c r="B6">
        <v>76.900000000000006</v>
      </c>
      <c r="C6">
        <v>61.4</v>
      </c>
    </row>
    <row r="7" spans="1:13" x14ac:dyDescent="0.35">
      <c r="A7">
        <v>2009</v>
      </c>
      <c r="B7">
        <v>75</v>
      </c>
      <c r="C7">
        <v>60.9</v>
      </c>
    </row>
    <row r="8" spans="1:13" x14ac:dyDescent="0.35">
      <c r="A8">
        <v>2010</v>
      </c>
      <c r="B8">
        <v>74.5</v>
      </c>
      <c r="C8">
        <v>60.3</v>
      </c>
    </row>
    <row r="9" spans="1:13" x14ac:dyDescent="0.35">
      <c r="A9">
        <v>2011</v>
      </c>
      <c r="B9">
        <v>74</v>
      </c>
      <c r="C9">
        <v>60.6</v>
      </c>
    </row>
    <row r="10" spans="1:13" x14ac:dyDescent="0.35">
      <c r="A10">
        <v>2012</v>
      </c>
      <c r="B10">
        <v>75.5</v>
      </c>
      <c r="C10">
        <v>61</v>
      </c>
    </row>
    <row r="11" spans="1:13" x14ac:dyDescent="0.35">
      <c r="A11">
        <v>2013</v>
      </c>
      <c r="B11">
        <v>76.599999999999994</v>
      </c>
      <c r="C11">
        <v>62.5</v>
      </c>
    </row>
    <row r="12" spans="1:13" x14ac:dyDescent="0.35">
      <c r="A12">
        <v>2014</v>
      </c>
      <c r="B12">
        <v>78.7</v>
      </c>
      <c r="C12">
        <v>64</v>
      </c>
    </row>
    <row r="13" spans="1:13" x14ac:dyDescent="0.35">
      <c r="A13">
        <v>2015</v>
      </c>
      <c r="B13">
        <v>79.400000000000006</v>
      </c>
      <c r="C13">
        <v>66.400000000000006</v>
      </c>
    </row>
    <row r="14" spans="1:13" x14ac:dyDescent="0.35">
      <c r="A14">
        <v>2016</v>
      </c>
      <c r="B14">
        <v>80.400000000000006</v>
      </c>
      <c r="C14">
        <v>66.900000000000006</v>
      </c>
    </row>
    <row r="15" spans="1:13" x14ac:dyDescent="0.35">
      <c r="A15">
        <v>2017</v>
      </c>
      <c r="B15">
        <v>80.2</v>
      </c>
      <c r="C15">
        <v>67.599999999999994</v>
      </c>
    </row>
    <row r="16" spans="1:13" x14ac:dyDescent="0.35">
      <c r="A16">
        <v>2018</v>
      </c>
      <c r="B16">
        <v>80.5</v>
      </c>
      <c r="C16">
        <v>68</v>
      </c>
    </row>
    <row r="17" spans="1:3" x14ac:dyDescent="0.35">
      <c r="A17">
        <v>2019</v>
      </c>
      <c r="B17">
        <v>79.900000000000006</v>
      </c>
      <c r="C17">
        <v>69</v>
      </c>
    </row>
    <row r="18" spans="1:3" x14ac:dyDescent="0.35">
      <c r="A18">
        <v>2020</v>
      </c>
      <c r="B18">
        <v>78.8</v>
      </c>
      <c r="C18">
        <v>71.5</v>
      </c>
    </row>
    <row r="19" spans="1:3" x14ac:dyDescent="0.35">
      <c r="A19">
        <v>2021</v>
      </c>
      <c r="B19">
        <v>78.7</v>
      </c>
      <c r="C19">
        <v>71</v>
      </c>
    </row>
    <row r="20" spans="1:3" x14ac:dyDescent="0.35">
      <c r="A20">
        <v>2022</v>
      </c>
      <c r="B20">
        <v>80.8</v>
      </c>
      <c r="C20">
        <v>71.5</v>
      </c>
    </row>
    <row r="21" spans="1:3" x14ac:dyDescent="0.35">
      <c r="A21">
        <v>2023</v>
      </c>
      <c r="B21">
        <v>78.599999999999994</v>
      </c>
      <c r="C21">
        <v>70.5</v>
      </c>
    </row>
  </sheetData>
  <hyperlinks>
    <hyperlink ref="M1" location="Index" display="Back to Index" xr:uid="{60490CE6-EA14-4361-A329-21B78C34D938}"/>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DD2E2-D35E-4B6E-8B92-2F2686998C9E}">
  <sheetPr codeName="Sheet21">
    <tabColor theme="0"/>
  </sheetPr>
  <dimension ref="A1:M21"/>
  <sheetViews>
    <sheetView workbookViewId="0">
      <selection activeCell="M1" sqref="M1"/>
    </sheetView>
  </sheetViews>
  <sheetFormatPr defaultRowHeight="15.5" x14ac:dyDescent="0.35"/>
  <sheetData>
    <row r="1" spans="1:13" x14ac:dyDescent="0.35">
      <c r="A1" t="s">
        <v>0</v>
      </c>
      <c r="B1" t="s">
        <v>31</v>
      </c>
      <c r="C1" t="s">
        <v>32</v>
      </c>
      <c r="M1" s="44" t="s">
        <v>253</v>
      </c>
    </row>
    <row r="2" spans="1:13" x14ac:dyDescent="0.35">
      <c r="A2">
        <v>2004</v>
      </c>
      <c r="B2">
        <v>42.3</v>
      </c>
      <c r="C2">
        <v>73.099999999999994</v>
      </c>
    </row>
    <row r="3" spans="1:13" x14ac:dyDescent="0.35">
      <c r="A3">
        <v>2005</v>
      </c>
      <c r="B3">
        <v>43.7</v>
      </c>
      <c r="C3">
        <v>72.5</v>
      </c>
    </row>
    <row r="4" spans="1:13" x14ac:dyDescent="0.35">
      <c r="A4">
        <v>2006</v>
      </c>
      <c r="B4">
        <v>44.4</v>
      </c>
      <c r="C4">
        <v>72.7</v>
      </c>
    </row>
    <row r="5" spans="1:13" x14ac:dyDescent="0.35">
      <c r="A5">
        <v>2007</v>
      </c>
      <c r="B5">
        <v>43.8</v>
      </c>
      <c r="C5">
        <v>73</v>
      </c>
    </row>
    <row r="6" spans="1:13" x14ac:dyDescent="0.35">
      <c r="A6">
        <v>2008</v>
      </c>
      <c r="B6">
        <v>43.6</v>
      </c>
      <c r="C6">
        <v>73.900000000000006</v>
      </c>
    </row>
    <row r="7" spans="1:13" x14ac:dyDescent="0.35">
      <c r="A7">
        <v>2009</v>
      </c>
      <c r="B7">
        <v>44.4</v>
      </c>
      <c r="C7">
        <v>72.2</v>
      </c>
    </row>
    <row r="8" spans="1:13" x14ac:dyDescent="0.35">
      <c r="A8">
        <v>2010</v>
      </c>
      <c r="B8">
        <v>45.7</v>
      </c>
      <c r="C8">
        <v>71.7</v>
      </c>
    </row>
    <row r="9" spans="1:13" x14ac:dyDescent="0.35">
      <c r="A9">
        <v>2011</v>
      </c>
      <c r="B9">
        <v>45</v>
      </c>
      <c r="C9">
        <v>71.8</v>
      </c>
    </row>
    <row r="10" spans="1:13" x14ac:dyDescent="0.35">
      <c r="A10">
        <v>2012</v>
      </c>
      <c r="B10">
        <v>47.1</v>
      </c>
      <c r="C10">
        <v>72.7</v>
      </c>
    </row>
    <row r="11" spans="1:13" x14ac:dyDescent="0.35">
      <c r="A11">
        <v>2013</v>
      </c>
      <c r="B11" t="s">
        <v>33</v>
      </c>
      <c r="C11" t="s">
        <v>33</v>
      </c>
    </row>
    <row r="12" spans="1:13" x14ac:dyDescent="0.35">
      <c r="A12">
        <v>2014</v>
      </c>
      <c r="B12">
        <v>48.9</v>
      </c>
      <c r="C12">
        <v>75.8</v>
      </c>
    </row>
    <row r="13" spans="1:13" x14ac:dyDescent="0.35">
      <c r="A13">
        <v>2015</v>
      </c>
      <c r="B13">
        <v>49.9</v>
      </c>
      <c r="C13">
        <v>77.5</v>
      </c>
    </row>
    <row r="14" spans="1:13" x14ac:dyDescent="0.35">
      <c r="A14">
        <v>2016</v>
      </c>
      <c r="B14">
        <v>51.6</v>
      </c>
      <c r="C14">
        <v>78.2</v>
      </c>
    </row>
    <row r="15" spans="1:13" x14ac:dyDescent="0.35">
      <c r="A15">
        <v>2017</v>
      </c>
      <c r="B15">
        <v>51.2</v>
      </c>
      <c r="C15">
        <v>78.400000000000006</v>
      </c>
    </row>
    <row r="16" spans="1:13" x14ac:dyDescent="0.35">
      <c r="A16">
        <v>2018</v>
      </c>
      <c r="B16">
        <v>51.8</v>
      </c>
      <c r="C16">
        <v>78.900000000000006</v>
      </c>
    </row>
    <row r="17" spans="1:3" x14ac:dyDescent="0.35">
      <c r="A17">
        <v>2019</v>
      </c>
      <c r="B17">
        <v>54.3</v>
      </c>
      <c r="C17">
        <v>78.8</v>
      </c>
    </row>
    <row r="18" spans="1:3" x14ac:dyDescent="0.35">
      <c r="A18">
        <v>2020</v>
      </c>
      <c r="B18">
        <v>54.6</v>
      </c>
      <c r="C18">
        <v>79.599999999999994</v>
      </c>
    </row>
    <row r="19" spans="1:3" x14ac:dyDescent="0.35">
      <c r="A19">
        <v>2021</v>
      </c>
      <c r="B19">
        <v>56.3</v>
      </c>
      <c r="C19">
        <v>79.3</v>
      </c>
    </row>
    <row r="20" spans="1:3" x14ac:dyDescent="0.35">
      <c r="A20">
        <v>2022</v>
      </c>
      <c r="B20">
        <v>57.8</v>
      </c>
      <c r="C20">
        <v>80.7</v>
      </c>
    </row>
    <row r="21" spans="1:3" x14ac:dyDescent="0.35">
      <c r="A21">
        <v>2023</v>
      </c>
      <c r="B21">
        <v>57.6</v>
      </c>
      <c r="C21">
        <v>78.900000000000006</v>
      </c>
    </row>
  </sheetData>
  <hyperlinks>
    <hyperlink ref="M1" location="Index" display="Back to Index" xr:uid="{AF9F61B5-EEA4-417D-84F8-E11C393726F2}"/>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BF1EA-0DA7-4005-B4F1-F74B1B85F633}">
  <sheetPr codeName="Sheet22">
    <tabColor theme="0"/>
  </sheetPr>
  <dimension ref="A1:M21"/>
  <sheetViews>
    <sheetView workbookViewId="0">
      <selection activeCell="M1" sqref="M1"/>
    </sheetView>
  </sheetViews>
  <sheetFormatPr defaultRowHeight="15.5" x14ac:dyDescent="0.35"/>
  <sheetData>
    <row r="1" spans="1:13" x14ac:dyDescent="0.35">
      <c r="A1" t="s">
        <v>0</v>
      </c>
      <c r="B1" t="s">
        <v>34</v>
      </c>
      <c r="C1" t="s">
        <v>35</v>
      </c>
      <c r="M1" s="44" t="s">
        <v>253</v>
      </c>
    </row>
    <row r="2" spans="1:13" x14ac:dyDescent="0.35">
      <c r="A2">
        <v>2004</v>
      </c>
      <c r="B2">
        <v>73.400000000000006</v>
      </c>
      <c r="C2">
        <v>56.8</v>
      </c>
    </row>
    <row r="3" spans="1:13" x14ac:dyDescent="0.35">
      <c r="A3">
        <v>2005</v>
      </c>
      <c r="B3">
        <v>73.400000000000006</v>
      </c>
      <c r="C3">
        <v>57.1</v>
      </c>
    </row>
    <row r="4" spans="1:13" x14ac:dyDescent="0.35">
      <c r="A4">
        <v>2006</v>
      </c>
      <c r="B4">
        <v>73.599999999999994</v>
      </c>
      <c r="C4">
        <v>57.7</v>
      </c>
    </row>
    <row r="5" spans="1:13" x14ac:dyDescent="0.35">
      <c r="A5">
        <v>2007</v>
      </c>
      <c r="B5">
        <v>73.7</v>
      </c>
      <c r="C5">
        <v>59.4</v>
      </c>
    </row>
    <row r="6" spans="1:13" x14ac:dyDescent="0.35">
      <c r="A6">
        <v>2008</v>
      </c>
      <c r="B6">
        <v>74.400000000000006</v>
      </c>
      <c r="C6">
        <v>59.6</v>
      </c>
    </row>
    <row r="7" spans="1:13" x14ac:dyDescent="0.35">
      <c r="A7">
        <v>2009</v>
      </c>
      <c r="B7">
        <v>73.599999999999994</v>
      </c>
      <c r="C7">
        <v>57.7</v>
      </c>
    </row>
    <row r="8" spans="1:13" x14ac:dyDescent="0.35">
      <c r="A8">
        <v>2010</v>
      </c>
      <c r="B8">
        <v>72.3</v>
      </c>
      <c r="C8">
        <v>58.9</v>
      </c>
    </row>
    <row r="9" spans="1:13" x14ac:dyDescent="0.35">
      <c r="A9">
        <v>2011</v>
      </c>
      <c r="B9">
        <v>73</v>
      </c>
      <c r="C9">
        <v>58.2</v>
      </c>
    </row>
    <row r="10" spans="1:13" x14ac:dyDescent="0.35">
      <c r="A10">
        <v>2012</v>
      </c>
      <c r="B10">
        <v>73.7</v>
      </c>
      <c r="C10">
        <v>59.5</v>
      </c>
    </row>
    <row r="11" spans="1:13" x14ac:dyDescent="0.35">
      <c r="A11">
        <v>2013</v>
      </c>
      <c r="B11">
        <v>75</v>
      </c>
      <c r="C11">
        <v>60.8</v>
      </c>
    </row>
    <row r="12" spans="1:13" x14ac:dyDescent="0.35">
      <c r="A12">
        <v>2014</v>
      </c>
      <c r="B12">
        <v>76.8</v>
      </c>
      <c r="C12">
        <v>62.7</v>
      </c>
    </row>
    <row r="13" spans="1:13" x14ac:dyDescent="0.35">
      <c r="A13">
        <v>2015</v>
      </c>
      <c r="B13">
        <v>78.2</v>
      </c>
      <c r="C13">
        <v>65</v>
      </c>
    </row>
    <row r="14" spans="1:13" x14ac:dyDescent="0.35">
      <c r="A14">
        <v>2016</v>
      </c>
      <c r="B14">
        <v>78.599999999999994</v>
      </c>
      <c r="C14">
        <v>66.3</v>
      </c>
    </row>
    <row r="15" spans="1:13" x14ac:dyDescent="0.35">
      <c r="A15">
        <v>2017</v>
      </c>
      <c r="B15">
        <v>78.8</v>
      </c>
      <c r="C15">
        <v>66.400000000000006</v>
      </c>
    </row>
    <row r="16" spans="1:13" x14ac:dyDescent="0.35">
      <c r="A16">
        <v>2018</v>
      </c>
      <c r="B16">
        <v>79.599999999999994</v>
      </c>
      <c r="C16">
        <v>66.400000000000006</v>
      </c>
    </row>
    <row r="17" spans="1:3" x14ac:dyDescent="0.35">
      <c r="A17">
        <v>2019</v>
      </c>
      <c r="B17">
        <v>79.3</v>
      </c>
      <c r="C17">
        <v>67.099999999999994</v>
      </c>
    </row>
    <row r="18" spans="1:3" x14ac:dyDescent="0.35">
      <c r="A18">
        <v>2020</v>
      </c>
      <c r="B18">
        <v>79.3</v>
      </c>
      <c r="C18">
        <v>68.8</v>
      </c>
    </row>
    <row r="19" spans="1:3" x14ac:dyDescent="0.35">
      <c r="A19">
        <v>2021</v>
      </c>
      <c r="B19">
        <v>78.900000000000006</v>
      </c>
      <c r="C19">
        <v>68.8</v>
      </c>
    </row>
    <row r="20" spans="1:3" x14ac:dyDescent="0.35">
      <c r="A20">
        <v>2022</v>
      </c>
      <c r="B20">
        <v>80.099999999999994</v>
      </c>
      <c r="C20">
        <v>70.7</v>
      </c>
    </row>
    <row r="21" spans="1:3" x14ac:dyDescent="0.35">
      <c r="A21">
        <v>2023</v>
      </c>
      <c r="B21">
        <v>79.3</v>
      </c>
      <c r="C21">
        <v>68.2</v>
      </c>
    </row>
  </sheetData>
  <hyperlinks>
    <hyperlink ref="M1" location="Index" display="Back to Index" xr:uid="{E0FFD892-D6DB-42DE-A386-1D7F296EC29E}"/>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CE277-B147-4E79-96EC-1E41A2B3D65D}">
  <sheetPr codeName="Sheet23">
    <tabColor theme="0"/>
  </sheetPr>
  <dimension ref="A1:M7"/>
  <sheetViews>
    <sheetView workbookViewId="0">
      <selection activeCell="M1" sqref="M1"/>
    </sheetView>
  </sheetViews>
  <sheetFormatPr defaultRowHeight="15.5" x14ac:dyDescent="0.35"/>
  <sheetData>
    <row r="1" spans="1:13" x14ac:dyDescent="0.35">
      <c r="A1" t="s">
        <v>36</v>
      </c>
      <c r="B1" t="s">
        <v>6</v>
      </c>
      <c r="C1" t="s">
        <v>7</v>
      </c>
      <c r="D1" t="s">
        <v>21</v>
      </c>
      <c r="M1" s="44" t="s">
        <v>253</v>
      </c>
    </row>
    <row r="2" spans="1:13" x14ac:dyDescent="0.35">
      <c r="A2" t="s">
        <v>37</v>
      </c>
      <c r="B2">
        <v>-11.1</v>
      </c>
      <c r="C2">
        <v>-7.6</v>
      </c>
      <c r="D2" t="s">
        <v>38</v>
      </c>
    </row>
    <row r="3" spans="1:13" x14ac:dyDescent="0.35">
      <c r="A3" t="s">
        <v>18</v>
      </c>
      <c r="B3">
        <v>-11.6</v>
      </c>
      <c r="C3">
        <v>-6</v>
      </c>
    </row>
    <row r="4" spans="1:13" x14ac:dyDescent="0.35">
      <c r="A4" t="s">
        <v>13</v>
      </c>
      <c r="B4">
        <v>-0.8</v>
      </c>
      <c r="C4">
        <v>2.7</v>
      </c>
    </row>
    <row r="5" spans="1:13" x14ac:dyDescent="0.35">
      <c r="A5" t="s">
        <v>39</v>
      </c>
      <c r="B5">
        <v>-18.8</v>
      </c>
      <c r="C5">
        <v>-17.2</v>
      </c>
    </row>
    <row r="6" spans="1:13" x14ac:dyDescent="0.35">
      <c r="A6" t="s">
        <v>40</v>
      </c>
      <c r="B6">
        <v>-16.2</v>
      </c>
      <c r="C6">
        <v>-10.6</v>
      </c>
    </row>
    <row r="7" spans="1:13" x14ac:dyDescent="0.35">
      <c r="A7" t="s">
        <v>41</v>
      </c>
      <c r="B7">
        <v>-8.1</v>
      </c>
      <c r="C7">
        <v>-7.2</v>
      </c>
    </row>
  </sheetData>
  <hyperlinks>
    <hyperlink ref="M1" location="Index" display="Back to Index" xr:uid="{9A1750A4-64FD-4D32-B1C7-BA7FB63BEF46}"/>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FCDAF-F456-49B4-96B1-894170D4868A}">
  <sheetPr codeName="Sheet24">
    <tabColor theme="4"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352A6A5E-4ED1-4F9B-9BD0-E5312C7A54DA}"/>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17D09-6404-4577-AF20-E2B957498E1D}">
  <sheetPr codeName="Sheet25">
    <tabColor theme="0"/>
  </sheetPr>
  <dimension ref="A1:M1"/>
  <sheetViews>
    <sheetView workbookViewId="0">
      <selection sqref="A1:G1"/>
    </sheetView>
  </sheetViews>
  <sheetFormatPr defaultRowHeight="15.5" x14ac:dyDescent="0.35"/>
  <sheetData>
    <row r="1" spans="1:13" x14ac:dyDescent="0.35">
      <c r="A1" s="45" t="s">
        <v>24</v>
      </c>
      <c r="B1" s="45"/>
      <c r="C1" s="45"/>
      <c r="D1" s="45"/>
      <c r="E1" s="45"/>
      <c r="F1" s="45"/>
      <c r="G1" s="45"/>
      <c r="M1" s="44" t="s">
        <v>253</v>
      </c>
    </row>
  </sheetData>
  <mergeCells count="1">
    <mergeCell ref="A1:G1"/>
  </mergeCells>
  <hyperlinks>
    <hyperlink ref="M1" location="Index" display="Back to Index" xr:uid="{5509DD99-1609-42BA-8562-07845FC02BE2}"/>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DF802C-1E5D-4C15-87A1-43241FFCCDA9}">
  <sheetPr codeName="Sheet26">
    <tabColor theme="0"/>
  </sheetPr>
  <dimension ref="A1:M1"/>
  <sheetViews>
    <sheetView workbookViewId="0">
      <selection activeCell="M1" sqref="M1"/>
    </sheetView>
  </sheetViews>
  <sheetFormatPr defaultRowHeight="15.5" x14ac:dyDescent="0.35"/>
  <sheetData>
    <row r="1" spans="1:13" x14ac:dyDescent="0.35">
      <c r="A1" s="45" t="s">
        <v>24</v>
      </c>
      <c r="B1" s="45"/>
      <c r="C1" s="45"/>
      <c r="D1" s="45"/>
      <c r="E1" s="45"/>
      <c r="F1" s="45"/>
      <c r="G1" s="45"/>
      <c r="M1" s="44" t="s">
        <v>253</v>
      </c>
    </row>
  </sheetData>
  <mergeCells count="1">
    <mergeCell ref="A1:G1"/>
  </mergeCells>
  <hyperlinks>
    <hyperlink ref="M1" location="Index" display="Back to Index" xr:uid="{8B1D7740-B2C6-4770-9284-01F17A66136C}"/>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370FC-43F3-4FE9-9EB1-D0CA25B0944D}">
  <sheetPr codeName="Sheet27">
    <tabColor theme="4"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71659CA0-5244-44FA-8D1F-5D39647C7BE7}"/>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93C378-DE48-4D85-8756-ED105745A4B9}">
  <sheetPr codeName="Sheet28">
    <tabColor theme="0"/>
  </sheetPr>
  <dimension ref="A1:M1"/>
  <sheetViews>
    <sheetView workbookViewId="0">
      <selection activeCell="M1" sqref="M1"/>
    </sheetView>
  </sheetViews>
  <sheetFormatPr defaultRowHeight="15.5" x14ac:dyDescent="0.35"/>
  <sheetData>
    <row r="1" spans="1:13" x14ac:dyDescent="0.35">
      <c r="A1" s="45" t="s">
        <v>24</v>
      </c>
      <c r="B1" s="45"/>
      <c r="C1" s="45"/>
      <c r="D1" s="45"/>
      <c r="E1" s="45"/>
      <c r="F1" s="45"/>
      <c r="G1" s="45"/>
      <c r="M1" s="44" t="s">
        <v>253</v>
      </c>
    </row>
  </sheetData>
  <mergeCells count="1">
    <mergeCell ref="A1:G1"/>
  </mergeCells>
  <hyperlinks>
    <hyperlink ref="M1" location="Index" display="Back to Index" xr:uid="{10DF685A-8EB0-4103-B982-2E556C805D43}"/>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EDC17-F588-4310-9ADE-FE4D16EDD993}">
  <sheetPr codeName="Sheet29">
    <tabColor theme="0"/>
  </sheetPr>
  <dimension ref="A1:M31"/>
  <sheetViews>
    <sheetView tabSelected="1" workbookViewId="0">
      <selection activeCell="M1" sqref="M1"/>
    </sheetView>
  </sheetViews>
  <sheetFormatPr defaultRowHeight="15.5" x14ac:dyDescent="0.35"/>
  <sheetData>
    <row r="1" spans="1:13" x14ac:dyDescent="0.35">
      <c r="A1" t="s">
        <v>5</v>
      </c>
      <c r="B1" t="s">
        <v>6</v>
      </c>
      <c r="C1" t="s">
        <v>7</v>
      </c>
      <c r="D1" s="2"/>
      <c r="E1" s="2"/>
      <c r="F1" s="2"/>
      <c r="G1" s="2"/>
      <c r="M1" s="44" t="s">
        <v>253</v>
      </c>
    </row>
    <row r="2" spans="1:13" x14ac:dyDescent="0.35">
      <c r="A2" t="s">
        <v>42</v>
      </c>
      <c r="B2">
        <v>1.7</v>
      </c>
      <c r="C2">
        <v>1.9</v>
      </c>
    </row>
    <row r="3" spans="1:13" x14ac:dyDescent="0.35">
      <c r="A3" t="s">
        <v>43</v>
      </c>
      <c r="B3">
        <v>1.5</v>
      </c>
      <c r="C3">
        <v>2</v>
      </c>
    </row>
    <row r="4" spans="1:13" x14ac:dyDescent="0.35">
      <c r="A4" t="s">
        <v>44</v>
      </c>
      <c r="B4">
        <v>1.8</v>
      </c>
      <c r="C4">
        <v>2.2999999999999998</v>
      </c>
    </row>
    <row r="5" spans="1:13" x14ac:dyDescent="0.35">
      <c r="A5" t="s">
        <v>45</v>
      </c>
      <c r="B5">
        <v>2.2000000000000002</v>
      </c>
      <c r="C5">
        <v>2.4</v>
      </c>
    </row>
    <row r="6" spans="1:13" x14ac:dyDescent="0.35">
      <c r="A6" t="s">
        <v>46</v>
      </c>
      <c r="B6">
        <v>2.1</v>
      </c>
      <c r="C6">
        <v>2.5</v>
      </c>
    </row>
    <row r="7" spans="1:13" x14ac:dyDescent="0.35">
      <c r="A7" t="s">
        <v>47</v>
      </c>
      <c r="B7">
        <v>2.1</v>
      </c>
      <c r="C7">
        <v>2.9</v>
      </c>
    </row>
    <row r="8" spans="1:13" x14ac:dyDescent="0.35">
      <c r="A8" t="s">
        <v>48</v>
      </c>
      <c r="B8">
        <v>2.6</v>
      </c>
      <c r="C8">
        <v>2.8</v>
      </c>
    </row>
    <row r="9" spans="1:13" x14ac:dyDescent="0.35">
      <c r="A9" t="s">
        <v>49</v>
      </c>
      <c r="B9">
        <v>2.5</v>
      </c>
      <c r="C9">
        <v>2.8</v>
      </c>
    </row>
    <row r="10" spans="1:13" x14ac:dyDescent="0.35">
      <c r="A10" t="s">
        <v>50</v>
      </c>
      <c r="B10">
        <v>2.6</v>
      </c>
      <c r="C10">
        <v>2.8</v>
      </c>
    </row>
    <row r="11" spans="1:13" x14ac:dyDescent="0.35">
      <c r="A11" t="s">
        <v>51</v>
      </c>
      <c r="B11">
        <v>2.1</v>
      </c>
      <c r="C11">
        <v>2.4</v>
      </c>
    </row>
    <row r="12" spans="1:13" x14ac:dyDescent="0.35">
      <c r="A12" t="s">
        <v>52</v>
      </c>
      <c r="B12">
        <v>2.5</v>
      </c>
      <c r="C12">
        <v>2.6</v>
      </c>
    </row>
    <row r="13" spans="1:13" x14ac:dyDescent="0.35">
      <c r="A13" t="s">
        <v>53</v>
      </c>
      <c r="B13">
        <v>2.2999999999999998</v>
      </c>
      <c r="C13">
        <v>2.7</v>
      </c>
    </row>
    <row r="14" spans="1:13" x14ac:dyDescent="0.35">
      <c r="A14" t="s">
        <v>54</v>
      </c>
      <c r="B14">
        <v>2.9</v>
      </c>
      <c r="C14">
        <v>3</v>
      </c>
    </row>
    <row r="15" spans="1:13" x14ac:dyDescent="0.35">
      <c r="A15" t="s">
        <v>55</v>
      </c>
      <c r="B15">
        <v>2.6</v>
      </c>
      <c r="C15">
        <v>3</v>
      </c>
    </row>
    <row r="16" spans="1:13" x14ac:dyDescent="0.35">
      <c r="A16" t="s">
        <v>56</v>
      </c>
      <c r="B16">
        <v>2.9</v>
      </c>
      <c r="C16">
        <v>3.3</v>
      </c>
    </row>
    <row r="17" spans="1:3" x14ac:dyDescent="0.35">
      <c r="A17" t="s">
        <v>57</v>
      </c>
      <c r="B17">
        <v>3</v>
      </c>
      <c r="C17">
        <v>3</v>
      </c>
    </row>
    <row r="18" spans="1:3" x14ac:dyDescent="0.35">
      <c r="A18" t="s">
        <v>58</v>
      </c>
      <c r="B18">
        <v>3.3</v>
      </c>
      <c r="C18">
        <v>3.1</v>
      </c>
    </row>
    <row r="19" spans="1:3" x14ac:dyDescent="0.35">
      <c r="A19" t="s">
        <v>59</v>
      </c>
      <c r="B19">
        <v>2.5</v>
      </c>
      <c r="C19">
        <v>2.7</v>
      </c>
    </row>
    <row r="20" spans="1:3" x14ac:dyDescent="0.35">
      <c r="A20" t="s">
        <v>60</v>
      </c>
      <c r="B20">
        <v>3</v>
      </c>
      <c r="C20">
        <v>2.9</v>
      </c>
    </row>
    <row r="21" spans="1:3" x14ac:dyDescent="0.35">
      <c r="A21" t="s">
        <v>61</v>
      </c>
      <c r="B21">
        <v>3.8</v>
      </c>
      <c r="C21">
        <v>3.1</v>
      </c>
    </row>
    <row r="22" spans="1:3" x14ac:dyDescent="0.35">
      <c r="A22" t="s">
        <v>62</v>
      </c>
      <c r="B22">
        <v>3.1</v>
      </c>
      <c r="C22">
        <v>3.2</v>
      </c>
    </row>
    <row r="23" spans="1:3" x14ac:dyDescent="0.35">
      <c r="A23" t="s">
        <v>63</v>
      </c>
      <c r="B23">
        <v>3.3</v>
      </c>
      <c r="C23">
        <v>3.1</v>
      </c>
    </row>
    <row r="24" spans="1:3" x14ac:dyDescent="0.35">
      <c r="A24" t="s">
        <v>64</v>
      </c>
      <c r="B24">
        <v>3.4</v>
      </c>
      <c r="C24">
        <v>3.2</v>
      </c>
    </row>
    <row r="25" spans="1:3" x14ac:dyDescent="0.35">
      <c r="A25" t="s">
        <v>65</v>
      </c>
      <c r="B25">
        <v>4.0999999999999996</v>
      </c>
      <c r="C25">
        <v>3.2</v>
      </c>
    </row>
    <row r="26" spans="1:3" x14ac:dyDescent="0.35">
      <c r="A26" t="s">
        <v>66</v>
      </c>
      <c r="B26">
        <v>3.9</v>
      </c>
      <c r="C26">
        <v>3.5</v>
      </c>
    </row>
    <row r="27" spans="1:3" x14ac:dyDescent="0.35">
      <c r="A27" t="s">
        <v>67</v>
      </c>
      <c r="B27">
        <v>3.8</v>
      </c>
      <c r="C27">
        <v>3.5</v>
      </c>
    </row>
    <row r="28" spans="1:3" x14ac:dyDescent="0.35">
      <c r="A28" t="s">
        <v>68</v>
      </c>
      <c r="B28">
        <v>3.3</v>
      </c>
      <c r="C28">
        <v>3.7</v>
      </c>
    </row>
    <row r="29" spans="1:3" x14ac:dyDescent="0.35">
      <c r="A29" t="s">
        <v>69</v>
      </c>
      <c r="B29">
        <v>3.4</v>
      </c>
      <c r="C29">
        <v>3.5</v>
      </c>
    </row>
    <row r="30" spans="1:3" x14ac:dyDescent="0.35">
      <c r="A30" t="s">
        <v>70</v>
      </c>
      <c r="B30">
        <v>3.6</v>
      </c>
      <c r="C30">
        <v>3.5</v>
      </c>
    </row>
    <row r="31" spans="1:3" x14ac:dyDescent="0.35">
      <c r="A31" t="s">
        <v>71</v>
      </c>
      <c r="B31">
        <v>3.6</v>
      </c>
      <c r="C31">
        <v>3.1</v>
      </c>
    </row>
  </sheetData>
  <hyperlinks>
    <hyperlink ref="M1" location="Index" display="Back to Index" xr:uid="{83D4DD09-0BEE-4584-A6A2-868C807A713B}"/>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4B64D-D621-427D-B60E-F0623F267706}">
  <sheetPr codeName="Sheet30">
    <tabColor theme="0"/>
  </sheetPr>
  <dimension ref="A1:M5"/>
  <sheetViews>
    <sheetView workbookViewId="0">
      <selection activeCell="E18" sqref="E18"/>
    </sheetView>
  </sheetViews>
  <sheetFormatPr defaultRowHeight="15.5" x14ac:dyDescent="0.35"/>
  <sheetData>
    <row r="1" spans="1:13" x14ac:dyDescent="0.35">
      <c r="A1" t="s">
        <v>0</v>
      </c>
      <c r="B1" t="s">
        <v>72</v>
      </c>
      <c r="C1" t="s">
        <v>73</v>
      </c>
      <c r="D1" s="2"/>
      <c r="E1" s="2"/>
      <c r="F1" s="2"/>
      <c r="G1" s="2"/>
      <c r="M1" s="44" t="s">
        <v>253</v>
      </c>
    </row>
    <row r="2" spans="1:13" x14ac:dyDescent="0.35">
      <c r="A2">
        <v>2020</v>
      </c>
      <c r="B2">
        <v>2.8</v>
      </c>
      <c r="C2">
        <v>10</v>
      </c>
    </row>
    <row r="3" spans="1:13" x14ac:dyDescent="0.35">
      <c r="A3">
        <v>2021</v>
      </c>
      <c r="B3">
        <v>2.7</v>
      </c>
      <c r="C3">
        <v>9.4</v>
      </c>
    </row>
    <row r="4" spans="1:13" x14ac:dyDescent="0.35">
      <c r="A4">
        <v>2022</v>
      </c>
      <c r="B4">
        <v>3</v>
      </c>
      <c r="C4">
        <v>9.1</v>
      </c>
    </row>
    <row r="5" spans="1:13" x14ac:dyDescent="0.35">
      <c r="A5">
        <v>2023</v>
      </c>
      <c r="B5">
        <v>3.2</v>
      </c>
      <c r="C5">
        <v>10.8</v>
      </c>
    </row>
  </sheetData>
  <hyperlinks>
    <hyperlink ref="M1" location="Index" display="Back to Index" xr:uid="{0BA0DF85-AD7A-4C74-A7B8-35E3A3671F02}"/>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3ED54C-D3A4-4F2A-B219-FB46F93ADC84}">
  <sheetPr codeName="Sheet31">
    <tabColor theme="5" tint="-0.49998474074526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84B956A7-B85A-40D9-A05A-5C15AADBFC07}"/>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052D7-F129-4BED-898C-662FC43136C0}">
  <sheetPr codeName="Sheet32">
    <tabColor theme="5" tint="0.39997558519241921"/>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88398244-E724-4F1A-B217-9A850B534682}"/>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38C40F-836C-499E-9053-7CCD29ECF142}">
  <sheetPr codeName="Sheet33">
    <tabColor theme="5"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B461051C-0955-4BDA-BA85-16A424F38D42}"/>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EE146-F6FA-4FFD-ABF2-D5AA9E951CF0}">
  <sheetPr codeName="Sheet34">
    <tabColor theme="0"/>
  </sheetPr>
  <dimension ref="A1:M21"/>
  <sheetViews>
    <sheetView workbookViewId="0">
      <selection activeCell="M1" sqref="M1"/>
    </sheetView>
  </sheetViews>
  <sheetFormatPr defaultRowHeight="15.5" x14ac:dyDescent="0.35"/>
  <sheetData>
    <row r="1" spans="1:13" x14ac:dyDescent="0.35">
      <c r="A1" t="s">
        <v>0</v>
      </c>
      <c r="B1" t="s">
        <v>6</v>
      </c>
      <c r="C1" t="s">
        <v>7</v>
      </c>
      <c r="D1" t="s">
        <v>5</v>
      </c>
      <c r="M1" s="44" t="s">
        <v>253</v>
      </c>
    </row>
    <row r="2" spans="1:13" x14ac:dyDescent="0.35">
      <c r="A2">
        <v>2004</v>
      </c>
      <c r="B2">
        <v>7.2</v>
      </c>
      <c r="C2">
        <v>4.8</v>
      </c>
    </row>
    <row r="3" spans="1:13" x14ac:dyDescent="0.35">
      <c r="A3">
        <v>2005</v>
      </c>
      <c r="B3">
        <v>7.2</v>
      </c>
      <c r="C3">
        <v>4.9000000000000004</v>
      </c>
    </row>
    <row r="4" spans="1:13" x14ac:dyDescent="0.35">
      <c r="A4">
        <v>2006</v>
      </c>
      <c r="B4">
        <v>7.7</v>
      </c>
      <c r="C4">
        <v>5.4</v>
      </c>
    </row>
    <row r="5" spans="1:13" x14ac:dyDescent="0.35">
      <c r="A5">
        <v>2007</v>
      </c>
      <c r="B5">
        <v>6.9</v>
      </c>
      <c r="C5">
        <v>5.2</v>
      </c>
    </row>
    <row r="6" spans="1:13" x14ac:dyDescent="0.35">
      <c r="A6">
        <v>2008</v>
      </c>
      <c r="B6">
        <v>7</v>
      </c>
      <c r="C6">
        <v>5.7</v>
      </c>
    </row>
    <row r="7" spans="1:13" x14ac:dyDescent="0.35">
      <c r="A7">
        <v>2009</v>
      </c>
      <c r="B7">
        <v>9.1999999999999993</v>
      </c>
      <c r="C7">
        <v>7.6</v>
      </c>
    </row>
    <row r="8" spans="1:13" x14ac:dyDescent="0.35">
      <c r="A8">
        <v>2010</v>
      </c>
      <c r="B8">
        <v>8.9</v>
      </c>
      <c r="C8">
        <v>7.6</v>
      </c>
    </row>
    <row r="9" spans="1:13" x14ac:dyDescent="0.35">
      <c r="A9">
        <v>2011</v>
      </c>
      <c r="B9">
        <v>9.5</v>
      </c>
      <c r="C9">
        <v>8</v>
      </c>
    </row>
    <row r="10" spans="1:13" x14ac:dyDescent="0.35">
      <c r="A10">
        <v>2012</v>
      </c>
      <c r="B10">
        <v>9.1999999999999993</v>
      </c>
      <c r="C10">
        <v>7.9</v>
      </c>
    </row>
    <row r="11" spans="1:13" x14ac:dyDescent="0.35">
      <c r="A11">
        <v>2013</v>
      </c>
      <c r="B11">
        <v>8.6999999999999993</v>
      </c>
      <c r="C11">
        <v>7.5</v>
      </c>
    </row>
    <row r="12" spans="1:13" x14ac:dyDescent="0.35">
      <c r="A12">
        <v>2014</v>
      </c>
      <c r="B12">
        <v>7</v>
      </c>
      <c r="C12">
        <v>6.2</v>
      </c>
    </row>
    <row r="13" spans="1:13" x14ac:dyDescent="0.35">
      <c r="A13">
        <v>2015</v>
      </c>
      <c r="B13">
        <v>6.1</v>
      </c>
      <c r="C13">
        <v>5.3</v>
      </c>
    </row>
    <row r="14" spans="1:13" x14ac:dyDescent="0.35">
      <c r="A14">
        <v>2016</v>
      </c>
      <c r="B14">
        <v>5.6</v>
      </c>
      <c r="C14">
        <v>4.9000000000000004</v>
      </c>
    </row>
    <row r="15" spans="1:13" x14ac:dyDescent="0.35">
      <c r="A15">
        <v>2017</v>
      </c>
      <c r="B15">
        <v>5.3</v>
      </c>
      <c r="C15">
        <v>4.4000000000000004</v>
      </c>
    </row>
    <row r="16" spans="1:13" x14ac:dyDescent="0.35">
      <c r="A16">
        <v>2018</v>
      </c>
      <c r="B16">
        <v>5</v>
      </c>
      <c r="C16">
        <v>4.2</v>
      </c>
    </row>
    <row r="17" spans="1:3" x14ac:dyDescent="0.35">
      <c r="A17">
        <v>2019</v>
      </c>
      <c r="B17">
        <v>4.5999999999999996</v>
      </c>
      <c r="C17">
        <v>3.9</v>
      </c>
    </row>
    <row r="18" spans="1:3" x14ac:dyDescent="0.35">
      <c r="A18">
        <v>2020</v>
      </c>
      <c r="B18">
        <v>6</v>
      </c>
      <c r="C18">
        <v>4.5999999999999996</v>
      </c>
    </row>
    <row r="19" spans="1:3" x14ac:dyDescent="0.35">
      <c r="A19">
        <v>2021</v>
      </c>
      <c r="B19">
        <v>5.6</v>
      </c>
      <c r="C19">
        <v>4.4000000000000004</v>
      </c>
    </row>
    <row r="20" spans="1:3" x14ac:dyDescent="0.35">
      <c r="A20">
        <v>2022</v>
      </c>
      <c r="B20">
        <v>4.4000000000000004</v>
      </c>
      <c r="C20">
        <v>3.5</v>
      </c>
    </row>
    <row r="21" spans="1:3" x14ac:dyDescent="0.35">
      <c r="A21">
        <v>2023</v>
      </c>
      <c r="B21">
        <v>5</v>
      </c>
      <c r="C21">
        <v>3.7</v>
      </c>
    </row>
  </sheetData>
  <hyperlinks>
    <hyperlink ref="M1" location="Index" display="Back to Index" xr:uid="{7A485754-B0DE-4682-8775-ED820735484F}"/>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BF0DA-BCA7-4CD6-A080-85CB7A400733}">
  <sheetPr codeName="Sheet35">
    <tabColor theme="0"/>
  </sheetPr>
  <dimension ref="A1:M5"/>
  <sheetViews>
    <sheetView workbookViewId="0">
      <selection activeCell="M1" sqref="M1"/>
    </sheetView>
  </sheetViews>
  <sheetFormatPr defaultRowHeight="15.5" x14ac:dyDescent="0.35"/>
  <sheetData>
    <row r="1" spans="1:13" x14ac:dyDescent="0.35">
      <c r="A1" t="s">
        <v>74</v>
      </c>
      <c r="B1" t="s">
        <v>75</v>
      </c>
      <c r="C1" t="s">
        <v>76</v>
      </c>
      <c r="D1" t="s">
        <v>13</v>
      </c>
      <c r="E1" t="s">
        <v>77</v>
      </c>
      <c r="F1" t="s">
        <v>40</v>
      </c>
      <c r="G1" t="s">
        <v>78</v>
      </c>
      <c r="M1" s="44" t="s">
        <v>253</v>
      </c>
    </row>
    <row r="2" spans="1:13" x14ac:dyDescent="0.35">
      <c r="A2" t="s">
        <v>79</v>
      </c>
      <c r="B2">
        <v>3.5</v>
      </c>
      <c r="C2">
        <v>10.1</v>
      </c>
      <c r="D2">
        <v>3.8</v>
      </c>
      <c r="E2">
        <v>5.2</v>
      </c>
      <c r="F2">
        <v>9.1</v>
      </c>
      <c r="G2">
        <v>5.2</v>
      </c>
    </row>
    <row r="3" spans="1:13" x14ac:dyDescent="0.35">
      <c r="A3" t="s">
        <v>80</v>
      </c>
      <c r="B3">
        <v>2.8</v>
      </c>
      <c r="C3">
        <v>5</v>
      </c>
      <c r="D3">
        <v>5.7</v>
      </c>
      <c r="E3">
        <v>9.3000000000000007</v>
      </c>
      <c r="F3">
        <v>7.8</v>
      </c>
      <c r="G3">
        <v>6.2</v>
      </c>
    </row>
    <row r="4" spans="1:13" x14ac:dyDescent="0.35">
      <c r="A4" t="s">
        <v>81</v>
      </c>
      <c r="B4">
        <v>4.5999999999999996</v>
      </c>
      <c r="C4">
        <v>15.9</v>
      </c>
      <c r="D4">
        <v>2.9</v>
      </c>
      <c r="E4">
        <v>3.1</v>
      </c>
      <c r="F4">
        <v>9.3000000000000007</v>
      </c>
      <c r="G4">
        <v>3.2</v>
      </c>
    </row>
    <row r="5" spans="1:13" x14ac:dyDescent="0.35">
      <c r="A5" t="s">
        <v>82</v>
      </c>
      <c r="B5">
        <v>3.9</v>
      </c>
      <c r="C5" t="s">
        <v>83</v>
      </c>
      <c r="D5">
        <v>6.2</v>
      </c>
      <c r="E5">
        <v>7.2</v>
      </c>
      <c r="F5">
        <v>7.2</v>
      </c>
      <c r="G5">
        <v>7.2</v>
      </c>
    </row>
  </sheetData>
  <hyperlinks>
    <hyperlink ref="M1" location="Index" display="Back to Index" xr:uid="{C44E7D68-739A-4496-8CF3-D560502B6E6E}"/>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1DBA4-436E-4672-B3BA-A475ECB6E2CB}">
  <sheetPr codeName="Sheet36">
    <tabColor theme="5"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D35F7ED9-F03C-4DBF-8BB7-1A77B723B033}"/>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34EAA7-569C-4702-9857-FF6FE3366546}">
  <sheetPr codeName="Sheet37">
    <tabColor theme="0"/>
  </sheetPr>
  <dimension ref="A1:M21"/>
  <sheetViews>
    <sheetView workbookViewId="0">
      <selection activeCell="M1" sqref="M1"/>
    </sheetView>
  </sheetViews>
  <sheetFormatPr defaultRowHeight="15.5" x14ac:dyDescent="0.35"/>
  <sheetData>
    <row r="1" spans="1:13" x14ac:dyDescent="0.35">
      <c r="A1" t="s">
        <v>0</v>
      </c>
      <c r="B1" t="s">
        <v>6</v>
      </c>
      <c r="C1" t="s">
        <v>7</v>
      </c>
      <c r="D1" t="s">
        <v>21</v>
      </c>
      <c r="E1" s="2"/>
      <c r="F1" s="2"/>
      <c r="G1" s="2"/>
      <c r="M1" s="44" t="s">
        <v>253</v>
      </c>
    </row>
    <row r="2" spans="1:13" x14ac:dyDescent="0.35">
      <c r="A2">
        <v>2004</v>
      </c>
      <c r="B2">
        <v>2</v>
      </c>
      <c r="C2">
        <v>2</v>
      </c>
      <c r="D2" s="5">
        <v>43769</v>
      </c>
    </row>
    <row r="3" spans="1:13" x14ac:dyDescent="0.35">
      <c r="A3">
        <v>2005</v>
      </c>
      <c r="B3">
        <v>2.7</v>
      </c>
      <c r="C3">
        <v>2.2000000000000002</v>
      </c>
    </row>
    <row r="4" spans="1:13" x14ac:dyDescent="0.35">
      <c r="A4">
        <v>2006</v>
      </c>
      <c r="B4">
        <v>2.5</v>
      </c>
      <c r="C4">
        <v>2.2000000000000002</v>
      </c>
    </row>
    <row r="5" spans="1:13" x14ac:dyDescent="0.35">
      <c r="A5">
        <v>2007</v>
      </c>
      <c r="B5">
        <v>2.8</v>
      </c>
      <c r="C5">
        <v>2.2999999999999998</v>
      </c>
    </row>
    <row r="6" spans="1:13" x14ac:dyDescent="0.35">
      <c r="A6">
        <v>2008</v>
      </c>
      <c r="B6">
        <v>2.8</v>
      </c>
      <c r="C6">
        <v>2.5</v>
      </c>
    </row>
    <row r="7" spans="1:13" x14ac:dyDescent="0.35">
      <c r="A7">
        <v>2009</v>
      </c>
      <c r="B7">
        <v>3.8</v>
      </c>
      <c r="C7">
        <v>3.4</v>
      </c>
    </row>
    <row r="8" spans="1:13" x14ac:dyDescent="0.35">
      <c r="A8">
        <v>2010</v>
      </c>
      <c r="B8">
        <v>4.5</v>
      </c>
      <c r="C8">
        <v>4</v>
      </c>
    </row>
    <row r="9" spans="1:13" x14ac:dyDescent="0.35">
      <c r="A9">
        <v>2011</v>
      </c>
      <c r="B9">
        <v>5.0999999999999996</v>
      </c>
      <c r="C9">
        <v>4.4000000000000004</v>
      </c>
    </row>
    <row r="10" spans="1:13" x14ac:dyDescent="0.35">
      <c r="A10">
        <v>2012</v>
      </c>
      <c r="B10">
        <v>5.0999999999999996</v>
      </c>
      <c r="C10">
        <v>4.7</v>
      </c>
    </row>
    <row r="11" spans="1:13" x14ac:dyDescent="0.35">
      <c r="A11">
        <v>2013</v>
      </c>
      <c r="B11">
        <v>5.5</v>
      </c>
      <c r="C11">
        <v>4.8</v>
      </c>
    </row>
    <row r="12" spans="1:13" x14ac:dyDescent="0.35">
      <c r="A12">
        <v>2014</v>
      </c>
      <c r="B12">
        <v>4.9000000000000004</v>
      </c>
      <c r="C12">
        <v>4.4000000000000004</v>
      </c>
    </row>
    <row r="13" spans="1:13" x14ac:dyDescent="0.35">
      <c r="A13">
        <v>2015</v>
      </c>
      <c r="B13">
        <v>4.7</v>
      </c>
      <c r="C13">
        <v>4.0999999999999996</v>
      </c>
    </row>
    <row r="14" spans="1:13" x14ac:dyDescent="0.35">
      <c r="A14">
        <v>2016</v>
      </c>
      <c r="B14">
        <v>4.5999999999999996</v>
      </c>
      <c r="C14">
        <v>3.7</v>
      </c>
    </row>
    <row r="15" spans="1:13" x14ac:dyDescent="0.35">
      <c r="A15">
        <v>2017</v>
      </c>
      <c r="B15">
        <v>3.6</v>
      </c>
      <c r="C15">
        <v>3.3</v>
      </c>
    </row>
    <row r="16" spans="1:13" x14ac:dyDescent="0.35">
      <c r="A16">
        <v>2018</v>
      </c>
      <c r="B16">
        <v>3.4</v>
      </c>
      <c r="C16">
        <v>2.9</v>
      </c>
    </row>
    <row r="17" spans="1:3" x14ac:dyDescent="0.35">
      <c r="A17">
        <v>2019</v>
      </c>
      <c r="B17">
        <v>3.4</v>
      </c>
      <c r="C17">
        <v>2.9</v>
      </c>
    </row>
    <row r="18" spans="1:3" x14ac:dyDescent="0.35">
      <c r="A18">
        <v>2020</v>
      </c>
      <c r="B18">
        <v>3.3</v>
      </c>
      <c r="C18">
        <v>3</v>
      </c>
    </row>
    <row r="19" spans="1:3" x14ac:dyDescent="0.35">
      <c r="A19">
        <v>2021</v>
      </c>
      <c r="B19">
        <v>3.4</v>
      </c>
      <c r="C19">
        <v>2.9</v>
      </c>
    </row>
    <row r="20" spans="1:3" x14ac:dyDescent="0.35">
      <c r="A20">
        <v>2022</v>
      </c>
      <c r="B20">
        <v>2.9</v>
      </c>
      <c r="C20">
        <v>2.5</v>
      </c>
    </row>
    <row r="21" spans="1:3" x14ac:dyDescent="0.35">
      <c r="A21">
        <v>2023</v>
      </c>
      <c r="B21">
        <v>2.6</v>
      </c>
      <c r="C21">
        <v>2.5</v>
      </c>
    </row>
  </sheetData>
  <hyperlinks>
    <hyperlink ref="M1" location="Index" display="Back to Index" xr:uid="{5CDA01C8-45E9-4597-A179-495FB83EC6FC}"/>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82AE4-697B-4ADC-BFC9-935F5B92543D}">
  <sheetPr codeName="Sheet38">
    <tabColor theme="5"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3BC049BD-4D13-4374-A3C5-0510CA9BA1F5}"/>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6C94D5-2E4A-407B-B1F0-9C8F1C6226E8}">
  <sheetPr codeName="Sheet39">
    <tabColor theme="0"/>
  </sheetPr>
  <dimension ref="A1:M1"/>
  <sheetViews>
    <sheetView workbookViewId="0">
      <selection activeCell="M1" sqref="M1"/>
    </sheetView>
  </sheetViews>
  <sheetFormatPr defaultRowHeight="15.5" x14ac:dyDescent="0.35"/>
  <sheetData>
    <row r="1" spans="1:13" x14ac:dyDescent="0.35">
      <c r="A1" s="45" t="s">
        <v>24</v>
      </c>
      <c r="B1" s="45"/>
      <c r="C1" s="45"/>
      <c r="D1" s="45"/>
      <c r="E1" s="45"/>
      <c r="F1" s="45"/>
      <c r="G1" s="45"/>
      <c r="M1" s="44" t="s">
        <v>253</v>
      </c>
    </row>
  </sheetData>
  <mergeCells count="1">
    <mergeCell ref="A1:G1"/>
  </mergeCells>
  <hyperlinks>
    <hyperlink ref="M1" location="Index" display="Back to Index" xr:uid="{1AD0F2C5-7C99-4889-BFD9-E9CC17CDCB37}"/>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CAFF93-601B-4CA2-9F3E-FE3F5869ECC6}">
  <sheetPr codeName="Sheet40">
    <tabColor theme="5"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40826985-FA24-4DAC-AE3A-76857E8FBF73}"/>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9B6F1-3C9F-4FA3-B1D6-0A6FD3D5E380}">
  <sheetPr codeName="Sheet41">
    <tabColor theme="0"/>
  </sheetPr>
  <dimension ref="A1:M1"/>
  <sheetViews>
    <sheetView workbookViewId="0">
      <selection activeCell="M1" sqref="M1"/>
    </sheetView>
  </sheetViews>
  <sheetFormatPr defaultRowHeight="15.5" x14ac:dyDescent="0.35"/>
  <sheetData>
    <row r="1" spans="1:13" x14ac:dyDescent="0.35">
      <c r="A1" s="45" t="s">
        <v>24</v>
      </c>
      <c r="B1" s="45"/>
      <c r="C1" s="45"/>
      <c r="D1" s="45"/>
      <c r="E1" s="45"/>
      <c r="F1" s="45"/>
      <c r="G1" s="45"/>
      <c r="M1" s="44" t="s">
        <v>253</v>
      </c>
    </row>
  </sheetData>
  <mergeCells count="1">
    <mergeCell ref="A1:G1"/>
  </mergeCells>
  <hyperlinks>
    <hyperlink ref="M1" location="Index" display="Back to Index" xr:uid="{1532099B-2A85-40E4-9268-5ABB3FDD3F13}"/>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7323F-9A97-413E-8D57-CA6DC77F428A}">
  <sheetPr codeName="Sheet42">
    <tabColor theme="0"/>
  </sheetPr>
  <dimension ref="A1:M5"/>
  <sheetViews>
    <sheetView workbookViewId="0">
      <selection activeCell="M1" sqref="M1"/>
    </sheetView>
  </sheetViews>
  <sheetFormatPr defaultRowHeight="15.5" x14ac:dyDescent="0.35"/>
  <sheetData>
    <row r="1" spans="1:13" x14ac:dyDescent="0.35">
      <c r="A1" t="s">
        <v>84</v>
      </c>
      <c r="B1" t="s">
        <v>85</v>
      </c>
      <c r="C1" t="s">
        <v>86</v>
      </c>
      <c r="D1" t="s">
        <v>87</v>
      </c>
      <c r="E1" t="s">
        <v>13</v>
      </c>
      <c r="F1" t="s">
        <v>14</v>
      </c>
      <c r="G1" t="s">
        <v>15</v>
      </c>
      <c r="H1" t="s">
        <v>12</v>
      </c>
      <c r="I1" t="s">
        <v>88</v>
      </c>
      <c r="J1" t="s">
        <v>16</v>
      </c>
      <c r="K1" t="s">
        <v>89</v>
      </c>
      <c r="M1" s="44" t="s">
        <v>253</v>
      </c>
    </row>
    <row r="2" spans="1:13" x14ac:dyDescent="0.35">
      <c r="A2" t="s">
        <v>90</v>
      </c>
      <c r="B2">
        <v>76</v>
      </c>
      <c r="C2">
        <v>84</v>
      </c>
      <c r="D2">
        <v>70</v>
      </c>
      <c r="E2">
        <v>73</v>
      </c>
      <c r="F2">
        <v>65</v>
      </c>
      <c r="G2">
        <v>53</v>
      </c>
      <c r="H2">
        <v>60</v>
      </c>
      <c r="I2">
        <v>70</v>
      </c>
      <c r="J2">
        <v>54</v>
      </c>
      <c r="K2">
        <v>68</v>
      </c>
    </row>
    <row r="3" spans="1:13" x14ac:dyDescent="0.35">
      <c r="A3" t="s">
        <v>91</v>
      </c>
      <c r="B3">
        <v>94</v>
      </c>
      <c r="C3">
        <v>94</v>
      </c>
      <c r="D3">
        <v>90</v>
      </c>
      <c r="E3">
        <v>93</v>
      </c>
      <c r="F3">
        <v>90</v>
      </c>
      <c r="G3">
        <v>86</v>
      </c>
      <c r="H3">
        <v>82</v>
      </c>
      <c r="I3">
        <v>93</v>
      </c>
      <c r="J3">
        <v>90</v>
      </c>
      <c r="K3">
        <v>88</v>
      </c>
    </row>
    <row r="4" spans="1:13" x14ac:dyDescent="0.35">
      <c r="A4" t="s">
        <v>92</v>
      </c>
      <c r="B4">
        <v>73</v>
      </c>
      <c r="C4">
        <v>78</v>
      </c>
      <c r="D4">
        <v>60</v>
      </c>
      <c r="E4">
        <v>67</v>
      </c>
      <c r="F4">
        <v>44</v>
      </c>
      <c r="G4">
        <v>47</v>
      </c>
      <c r="H4">
        <v>58</v>
      </c>
      <c r="I4">
        <v>55</v>
      </c>
      <c r="J4">
        <v>62</v>
      </c>
      <c r="K4">
        <v>74</v>
      </c>
    </row>
    <row r="5" spans="1:13" x14ac:dyDescent="0.35">
      <c r="A5" t="s">
        <v>93</v>
      </c>
      <c r="B5">
        <v>76</v>
      </c>
      <c r="C5">
        <v>75</v>
      </c>
      <c r="D5">
        <v>69</v>
      </c>
      <c r="E5">
        <v>68</v>
      </c>
      <c r="F5">
        <v>47</v>
      </c>
      <c r="G5">
        <v>40</v>
      </c>
      <c r="H5">
        <v>67</v>
      </c>
      <c r="I5">
        <v>58</v>
      </c>
      <c r="J5">
        <v>66</v>
      </c>
      <c r="K5">
        <v>74</v>
      </c>
    </row>
  </sheetData>
  <hyperlinks>
    <hyperlink ref="M1" location="Index" display="Back to Index" xr:uid="{838886BB-6870-43A9-97F3-CA03ECA88FEF}"/>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BC9C2-2A13-4CD9-BD54-35BC9EC10895}">
  <sheetPr codeName="Sheet43">
    <tabColor theme="0"/>
  </sheetPr>
  <dimension ref="A1:M9"/>
  <sheetViews>
    <sheetView workbookViewId="0">
      <selection activeCell="M1" sqref="M1"/>
    </sheetView>
  </sheetViews>
  <sheetFormatPr defaultRowHeight="15.5" x14ac:dyDescent="0.35"/>
  <sheetData>
    <row r="1" spans="1:13" x14ac:dyDescent="0.35">
      <c r="A1" t="s">
        <v>94</v>
      </c>
      <c r="B1" t="s">
        <v>95</v>
      </c>
      <c r="C1" t="s">
        <v>96</v>
      </c>
      <c r="M1" s="44" t="s">
        <v>253</v>
      </c>
    </row>
    <row r="2" spans="1:13" x14ac:dyDescent="0.35">
      <c r="A2" t="s">
        <v>97</v>
      </c>
      <c r="B2">
        <v>76</v>
      </c>
    </row>
    <row r="3" spans="1:13" x14ac:dyDescent="0.35">
      <c r="A3" t="s">
        <v>98</v>
      </c>
      <c r="B3">
        <v>72</v>
      </c>
    </row>
    <row r="4" spans="1:13" x14ac:dyDescent="0.35">
      <c r="A4" t="s">
        <v>99</v>
      </c>
      <c r="B4">
        <v>69</v>
      </c>
    </row>
    <row r="5" spans="1:13" x14ac:dyDescent="0.35">
      <c r="A5" t="s">
        <v>100</v>
      </c>
      <c r="B5">
        <v>92</v>
      </c>
    </row>
    <row r="6" spans="1:13" x14ac:dyDescent="0.35">
      <c r="A6" t="s">
        <v>101</v>
      </c>
      <c r="B6">
        <v>69</v>
      </c>
    </row>
    <row r="7" spans="1:13" x14ac:dyDescent="0.35">
      <c r="A7" t="s">
        <v>102</v>
      </c>
      <c r="B7">
        <v>70</v>
      </c>
    </row>
    <row r="8" spans="1:13" x14ac:dyDescent="0.35">
      <c r="A8" t="s">
        <v>103</v>
      </c>
      <c r="B8">
        <v>88</v>
      </c>
    </row>
    <row r="9" spans="1:13" x14ac:dyDescent="0.35">
      <c r="A9" t="s">
        <v>104</v>
      </c>
      <c r="B9">
        <v>80</v>
      </c>
    </row>
  </sheetData>
  <hyperlinks>
    <hyperlink ref="M1" location="Index" display="Back to Index" xr:uid="{47EE07A7-A01F-4F23-A71B-6C3E462FC29B}"/>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31CD21-1856-4B43-9FBE-01855AF25FC3}">
  <sheetPr codeName="Sheet44">
    <tabColor theme="5" tint="0.39997558519241921"/>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91D5132E-FCCB-4B79-9525-CE5276F0577F}"/>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86C0DE-EDD9-4913-B4FA-8C57DBB64597}">
  <sheetPr codeName="Sheet45">
    <tabColor theme="5" tint="0.79998168889431442"/>
  </sheetPr>
  <dimension ref="A1:M26"/>
  <sheetViews>
    <sheetView workbookViewId="0">
      <selection activeCell="M1" sqref="M1"/>
    </sheetView>
  </sheetViews>
  <sheetFormatPr defaultRowHeight="15.5" x14ac:dyDescent="0.35"/>
  <sheetData>
    <row r="1" spans="1:13" x14ac:dyDescent="0.35">
      <c r="A1" t="s">
        <v>8</v>
      </c>
      <c r="B1" t="s">
        <v>6</v>
      </c>
      <c r="C1" t="s">
        <v>105</v>
      </c>
      <c r="M1" s="44" t="s">
        <v>253</v>
      </c>
    </row>
    <row r="2" spans="1:13" x14ac:dyDescent="0.35">
      <c r="A2" t="s">
        <v>75</v>
      </c>
      <c r="B2">
        <v>70</v>
      </c>
      <c r="C2">
        <v>67</v>
      </c>
    </row>
    <row r="3" spans="1:13" x14ac:dyDescent="0.35">
      <c r="A3" t="s">
        <v>18</v>
      </c>
      <c r="B3">
        <v>70</v>
      </c>
      <c r="C3">
        <v>67</v>
      </c>
    </row>
    <row r="4" spans="1:13" x14ac:dyDescent="0.35">
      <c r="A4" t="s">
        <v>106</v>
      </c>
      <c r="B4">
        <v>69</v>
      </c>
      <c r="C4">
        <v>64</v>
      </c>
    </row>
    <row r="5" spans="1:13" x14ac:dyDescent="0.35">
      <c r="A5" t="s">
        <v>107</v>
      </c>
      <c r="B5">
        <v>62</v>
      </c>
      <c r="C5">
        <v>61</v>
      </c>
    </row>
    <row r="6" spans="1:13" x14ac:dyDescent="0.35">
      <c r="A6" t="s">
        <v>41</v>
      </c>
      <c r="B6">
        <v>61</v>
      </c>
      <c r="C6">
        <v>57</v>
      </c>
    </row>
    <row r="7" spans="1:13" x14ac:dyDescent="0.35">
      <c r="A7" t="s">
        <v>108</v>
      </c>
      <c r="B7">
        <v>51</v>
      </c>
      <c r="C7">
        <v>48</v>
      </c>
    </row>
    <row r="8" spans="1:13" x14ac:dyDescent="0.35">
      <c r="A8" t="s">
        <v>109</v>
      </c>
      <c r="B8">
        <v>68</v>
      </c>
      <c r="C8">
        <v>66</v>
      </c>
    </row>
    <row r="11" spans="1:13" x14ac:dyDescent="0.35">
      <c r="A11" s="46" t="s">
        <v>110</v>
      </c>
      <c r="B11" s="46"/>
      <c r="C11" s="46"/>
      <c r="D11" s="46"/>
    </row>
    <row r="12" spans="1:13" ht="115.5" customHeight="1" x14ac:dyDescent="0.35">
      <c r="A12" s="46"/>
      <c r="B12" s="46"/>
      <c r="C12" s="46"/>
      <c r="D12" s="46"/>
    </row>
    <row r="26" ht="13.9" customHeight="1" x14ac:dyDescent="0.35"/>
  </sheetData>
  <mergeCells count="1">
    <mergeCell ref="A11:D12"/>
  </mergeCells>
  <hyperlinks>
    <hyperlink ref="M1" location="Index" display="Back to Index" xr:uid="{FAA54726-E9FF-4461-ADC7-C836C4828495}"/>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FE135-3B31-485B-8283-C9463D478A29}">
  <sheetPr codeName="Sheet46"/>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B76440DF-C4E9-4703-9844-14AB972EDE0C}"/>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C6DD2-B62B-4081-AD38-4AA5E6C10B50}">
  <sheetPr codeName="Sheet47">
    <tabColor theme="5"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C0D04F55-C174-4F6F-91DF-E6D5D2B4E0DE}"/>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C3B09-2786-4813-9767-266D4A3BCF06}">
  <sheetPr codeName="Sheet48">
    <tabColor theme="0"/>
  </sheetPr>
  <dimension ref="A1:M1"/>
  <sheetViews>
    <sheetView workbookViewId="0">
      <selection activeCell="M1" sqref="M1"/>
    </sheetView>
  </sheetViews>
  <sheetFormatPr defaultRowHeight="15.5" x14ac:dyDescent="0.35"/>
  <sheetData>
    <row r="1" spans="1:13" x14ac:dyDescent="0.35">
      <c r="A1" s="45" t="s">
        <v>24</v>
      </c>
      <c r="B1" s="45"/>
      <c r="C1" s="45"/>
      <c r="D1" s="45"/>
      <c r="E1" s="45"/>
      <c r="F1" s="45"/>
      <c r="G1" s="45"/>
      <c r="M1" s="44" t="s">
        <v>253</v>
      </c>
    </row>
  </sheetData>
  <mergeCells count="1">
    <mergeCell ref="A1:G1"/>
  </mergeCells>
  <hyperlinks>
    <hyperlink ref="M1" location="Index" display="Back to Index" xr:uid="{5E9B2A2F-FAE0-408C-8658-D0BB4C960107}"/>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95147-ADEF-4207-9BC3-9FC0C2D41305}">
  <sheetPr codeName="Sheet49">
    <tabColor theme="0"/>
  </sheetPr>
  <dimension ref="A1:M8"/>
  <sheetViews>
    <sheetView workbookViewId="0">
      <selection activeCell="M1" sqref="M1"/>
    </sheetView>
  </sheetViews>
  <sheetFormatPr defaultRowHeight="15.5" x14ac:dyDescent="0.35"/>
  <sheetData>
    <row r="1" spans="1:13" x14ac:dyDescent="0.35">
      <c r="A1" t="s">
        <v>8</v>
      </c>
      <c r="B1" t="s">
        <v>6</v>
      </c>
      <c r="C1" t="s">
        <v>105</v>
      </c>
      <c r="M1" s="44" t="s">
        <v>253</v>
      </c>
    </row>
    <row r="2" spans="1:13" x14ac:dyDescent="0.35">
      <c r="A2" t="s">
        <v>75</v>
      </c>
      <c r="B2">
        <v>49.9</v>
      </c>
      <c r="C2">
        <v>45.2</v>
      </c>
    </row>
    <row r="3" spans="1:13" x14ac:dyDescent="0.35">
      <c r="A3" t="s">
        <v>18</v>
      </c>
      <c r="B3">
        <v>49.4</v>
      </c>
      <c r="C3">
        <v>46.9</v>
      </c>
    </row>
    <row r="4" spans="1:13" x14ac:dyDescent="0.35">
      <c r="A4" t="s">
        <v>106</v>
      </c>
      <c r="B4">
        <v>56.6</v>
      </c>
      <c r="C4">
        <v>53.5</v>
      </c>
    </row>
    <row r="5" spans="1:13" x14ac:dyDescent="0.35">
      <c r="A5" t="s">
        <v>107</v>
      </c>
      <c r="B5">
        <v>46.5</v>
      </c>
      <c r="C5">
        <v>46.8</v>
      </c>
    </row>
    <row r="6" spans="1:13" x14ac:dyDescent="0.35">
      <c r="A6" t="s">
        <v>41</v>
      </c>
      <c r="B6">
        <v>50.5</v>
      </c>
      <c r="C6">
        <v>48.8</v>
      </c>
    </row>
    <row r="7" spans="1:13" x14ac:dyDescent="0.35">
      <c r="A7" t="s">
        <v>108</v>
      </c>
      <c r="B7">
        <v>46.5</v>
      </c>
      <c r="C7">
        <v>42.4</v>
      </c>
    </row>
    <row r="8" spans="1:13" x14ac:dyDescent="0.35">
      <c r="A8" t="s">
        <v>109</v>
      </c>
      <c r="B8">
        <v>50.6</v>
      </c>
      <c r="C8">
        <v>46.4</v>
      </c>
    </row>
  </sheetData>
  <hyperlinks>
    <hyperlink ref="M1" location="Index" display="Back to Index" xr:uid="{C07E6AED-F0CB-48AD-814A-1E5A3C43E7B4}"/>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D18632-82AA-4227-8FFD-448C42B6F63F}">
  <sheetPr codeName="Sheet50">
    <tabColor theme="0"/>
  </sheetPr>
  <dimension ref="A1:M3"/>
  <sheetViews>
    <sheetView workbookViewId="0">
      <selection activeCell="M1" sqref="M1"/>
    </sheetView>
  </sheetViews>
  <sheetFormatPr defaultRowHeight="15.5" x14ac:dyDescent="0.35"/>
  <sheetData>
    <row r="1" spans="1:13" x14ac:dyDescent="0.35">
      <c r="A1" t="s">
        <v>111</v>
      </c>
      <c r="B1" t="s">
        <v>6</v>
      </c>
      <c r="C1" t="s">
        <v>105</v>
      </c>
      <c r="M1" s="44" t="s">
        <v>253</v>
      </c>
    </row>
    <row r="2" spans="1:13" x14ac:dyDescent="0.35">
      <c r="A2" t="s">
        <v>112</v>
      </c>
      <c r="B2">
        <v>48.4</v>
      </c>
      <c r="C2">
        <v>44.2</v>
      </c>
    </row>
    <row r="3" spans="1:13" x14ac:dyDescent="0.35">
      <c r="A3" t="s">
        <v>113</v>
      </c>
      <c r="B3">
        <v>52.9</v>
      </c>
      <c r="C3">
        <v>48.7</v>
      </c>
    </row>
  </sheetData>
  <hyperlinks>
    <hyperlink ref="M1" location="Index" display="Back to Index" xr:uid="{97105C52-6C57-48A4-B251-717068546101}"/>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8E01ED-85BB-4BFB-BCAB-3EAD2298656F}">
  <sheetPr codeName="Sheet51">
    <tabColor theme="0"/>
  </sheetPr>
  <dimension ref="A1:M3"/>
  <sheetViews>
    <sheetView workbookViewId="0">
      <selection activeCell="M1" sqref="M1"/>
    </sheetView>
  </sheetViews>
  <sheetFormatPr defaultRowHeight="15.5" x14ac:dyDescent="0.35"/>
  <sheetData>
    <row r="1" spans="1:13" x14ac:dyDescent="0.35">
      <c r="A1" t="s">
        <v>114</v>
      </c>
      <c r="B1" t="s">
        <v>6</v>
      </c>
      <c r="C1" t="s">
        <v>105</v>
      </c>
      <c r="M1" s="44" t="s">
        <v>253</v>
      </c>
    </row>
    <row r="2" spans="1:13" x14ac:dyDescent="0.35">
      <c r="A2" t="s">
        <v>115</v>
      </c>
      <c r="B2">
        <v>50.2</v>
      </c>
      <c r="C2">
        <v>45.9</v>
      </c>
    </row>
    <row r="3" spans="1:13" x14ac:dyDescent="0.35">
      <c r="A3" t="s">
        <v>41</v>
      </c>
      <c r="B3">
        <v>51.5</v>
      </c>
      <c r="C3">
        <v>49.4</v>
      </c>
    </row>
  </sheetData>
  <hyperlinks>
    <hyperlink ref="M1" location="Index" display="Back to Index" xr:uid="{A902D99D-7DB3-4F73-99B9-57C280D22A04}"/>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2DED5-76E8-42CA-90D5-9E3AC40F574D}">
  <sheetPr codeName="Sheet52">
    <tabColor theme="0"/>
  </sheetPr>
  <dimension ref="A1:M3"/>
  <sheetViews>
    <sheetView workbookViewId="0">
      <selection activeCell="M1" sqref="M1"/>
    </sheetView>
  </sheetViews>
  <sheetFormatPr defaultRowHeight="15.5" x14ac:dyDescent="0.35"/>
  <sheetData>
    <row r="1" spans="1:13" x14ac:dyDescent="0.35">
      <c r="A1" t="s">
        <v>120</v>
      </c>
      <c r="B1" t="s">
        <v>6</v>
      </c>
      <c r="C1" t="s">
        <v>105</v>
      </c>
      <c r="M1" s="44" t="s">
        <v>253</v>
      </c>
    </row>
    <row r="2" spans="1:13" x14ac:dyDescent="0.35">
      <c r="A2" t="s">
        <v>121</v>
      </c>
      <c r="B2">
        <v>41.8</v>
      </c>
      <c r="C2">
        <v>34.9</v>
      </c>
    </row>
    <row r="3" spans="1:13" x14ac:dyDescent="0.35">
      <c r="A3" t="s">
        <v>122</v>
      </c>
      <c r="B3">
        <v>53.9</v>
      </c>
      <c r="C3">
        <v>49.8</v>
      </c>
    </row>
  </sheetData>
  <hyperlinks>
    <hyperlink ref="M1" location="Index" display="Back to Index" xr:uid="{72103CF2-D554-4016-875C-70B311ACD272}"/>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26DEC9-39B3-4A42-B60E-A6751CC474A4}">
  <sheetPr codeName="Sheet53">
    <tabColor theme="0"/>
  </sheetPr>
  <dimension ref="A1:M4"/>
  <sheetViews>
    <sheetView workbookViewId="0">
      <selection activeCell="M1" sqref="M1"/>
    </sheetView>
  </sheetViews>
  <sheetFormatPr defaultRowHeight="15.5" x14ac:dyDescent="0.35"/>
  <sheetData>
    <row r="1" spans="1:13" x14ac:dyDescent="0.35">
      <c r="A1" t="s">
        <v>116</v>
      </c>
      <c r="B1" t="s">
        <v>6</v>
      </c>
      <c r="C1" t="s">
        <v>105</v>
      </c>
      <c r="M1" s="44" t="s">
        <v>253</v>
      </c>
    </row>
    <row r="2" spans="1:13" x14ac:dyDescent="0.35">
      <c r="A2" t="s">
        <v>117</v>
      </c>
      <c r="B2">
        <v>54.5</v>
      </c>
      <c r="C2">
        <v>50.2</v>
      </c>
    </row>
    <row r="3" spans="1:13" x14ac:dyDescent="0.35">
      <c r="A3" t="s">
        <v>118</v>
      </c>
      <c r="B3">
        <v>38.1</v>
      </c>
      <c r="C3">
        <v>33.299999999999997</v>
      </c>
    </row>
    <row r="4" spans="1:13" x14ac:dyDescent="0.35">
      <c r="A4" t="s">
        <v>119</v>
      </c>
      <c r="B4">
        <v>16.399999999999999</v>
      </c>
      <c r="C4">
        <v>14</v>
      </c>
    </row>
  </sheetData>
  <hyperlinks>
    <hyperlink ref="M1" location="Index" display="Back to Index" xr:uid="{D6C52AD3-4B72-4160-8AA2-12BB6345A77F}"/>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FF7A1E-8260-4187-8EE9-6E5D5F32B459}">
  <sheetPr codeName="Sheet54">
    <tabColor theme="0"/>
  </sheetPr>
  <dimension ref="A1:M3"/>
  <sheetViews>
    <sheetView workbookViewId="0">
      <selection activeCell="M1" sqref="M1"/>
    </sheetView>
  </sheetViews>
  <sheetFormatPr defaultRowHeight="15.5" x14ac:dyDescent="0.35"/>
  <sheetData>
    <row r="1" spans="1:13" x14ac:dyDescent="0.35">
      <c r="A1" t="s">
        <v>123</v>
      </c>
      <c r="B1" t="s">
        <v>6</v>
      </c>
      <c r="C1" t="s">
        <v>105</v>
      </c>
      <c r="M1" s="44" t="s">
        <v>253</v>
      </c>
    </row>
    <row r="2" spans="1:13" x14ac:dyDescent="0.35">
      <c r="A2" t="s">
        <v>124</v>
      </c>
      <c r="B2">
        <v>41.9</v>
      </c>
      <c r="C2">
        <v>35.1</v>
      </c>
    </row>
    <row r="3" spans="1:13" x14ac:dyDescent="0.35">
      <c r="A3" t="s">
        <v>125</v>
      </c>
      <c r="B3">
        <v>54.6</v>
      </c>
      <c r="C3">
        <v>50.4</v>
      </c>
    </row>
  </sheetData>
  <hyperlinks>
    <hyperlink ref="M1" location="Index" display="Back to Index" xr:uid="{6329C7C4-24E0-46DE-9C28-81D9F8BD7288}"/>
  </hyperlink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619D0-3B1C-4EE6-9805-C959FD885973}">
  <sheetPr codeName="Sheet55">
    <tabColor theme="5"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57715446-76B5-4748-91FD-F912FCDAC431}"/>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1EE739-28F7-40E3-83B4-608F52AEA8DA}">
  <sheetPr codeName="Sheet56">
    <tabColor theme="0"/>
  </sheetPr>
  <dimension ref="A1:M12"/>
  <sheetViews>
    <sheetView workbookViewId="0">
      <selection activeCell="M1" sqref="M1"/>
    </sheetView>
  </sheetViews>
  <sheetFormatPr defaultRowHeight="15.5" x14ac:dyDescent="0.35"/>
  <sheetData>
    <row r="1" spans="1:13" x14ac:dyDescent="0.35">
      <c r="A1" t="s">
        <v>0</v>
      </c>
      <c r="B1" t="s">
        <v>6</v>
      </c>
      <c r="C1" t="s">
        <v>7</v>
      </c>
      <c r="D1" t="s">
        <v>21</v>
      </c>
      <c r="E1" t="s">
        <v>126</v>
      </c>
      <c r="F1" t="s">
        <v>127</v>
      </c>
      <c r="G1" t="s">
        <v>128</v>
      </c>
      <c r="M1" s="44" t="s">
        <v>253</v>
      </c>
    </row>
    <row r="2" spans="1:13" x14ac:dyDescent="0.35">
      <c r="A2">
        <v>2011</v>
      </c>
      <c r="B2">
        <v>18.3</v>
      </c>
      <c r="C2">
        <v>23</v>
      </c>
      <c r="D2" s="5">
        <v>44135</v>
      </c>
    </row>
    <row r="3" spans="1:13" x14ac:dyDescent="0.35">
      <c r="A3">
        <v>2012</v>
      </c>
      <c r="B3">
        <v>16.600000000000001</v>
      </c>
      <c r="C3">
        <v>21.7</v>
      </c>
    </row>
    <row r="4" spans="1:13" x14ac:dyDescent="0.35">
      <c r="A4">
        <v>2013</v>
      </c>
      <c r="B4">
        <v>15.9</v>
      </c>
      <c r="C4">
        <v>21</v>
      </c>
    </row>
    <row r="5" spans="1:13" x14ac:dyDescent="0.35">
      <c r="A5">
        <v>2014</v>
      </c>
      <c r="B5">
        <v>14.9</v>
      </c>
      <c r="C5">
        <v>20.100000000000001</v>
      </c>
    </row>
    <row r="6" spans="1:13" x14ac:dyDescent="0.35">
      <c r="A6">
        <v>2015</v>
      </c>
      <c r="B6">
        <v>14.7</v>
      </c>
      <c r="C6">
        <v>19.5</v>
      </c>
    </row>
    <row r="7" spans="1:13" x14ac:dyDescent="0.35">
      <c r="A7">
        <v>2016</v>
      </c>
      <c r="B7">
        <v>13.6</v>
      </c>
      <c r="C7">
        <v>18.600000000000001</v>
      </c>
    </row>
    <row r="8" spans="1:13" x14ac:dyDescent="0.35">
      <c r="A8">
        <v>2017</v>
      </c>
      <c r="B8">
        <v>12.9</v>
      </c>
      <c r="C8">
        <v>18</v>
      </c>
    </row>
    <row r="9" spans="1:13" x14ac:dyDescent="0.35">
      <c r="A9">
        <v>2018</v>
      </c>
      <c r="B9">
        <v>12.8</v>
      </c>
      <c r="C9">
        <v>17.8</v>
      </c>
    </row>
    <row r="10" spans="1:13" x14ac:dyDescent="0.35">
      <c r="A10">
        <v>2019</v>
      </c>
      <c r="B10">
        <v>12.3</v>
      </c>
      <c r="C10">
        <v>17.100000000000001</v>
      </c>
    </row>
    <row r="11" spans="1:13" x14ac:dyDescent="0.35">
      <c r="A11">
        <v>2020</v>
      </c>
      <c r="B11">
        <v>10.6</v>
      </c>
      <c r="C11">
        <v>15.6</v>
      </c>
    </row>
    <row r="12" spans="1:13" x14ac:dyDescent="0.35">
      <c r="A12">
        <v>2021</v>
      </c>
      <c r="B12">
        <v>10.5</v>
      </c>
      <c r="C12">
        <v>15.5</v>
      </c>
    </row>
  </sheetData>
  <hyperlinks>
    <hyperlink ref="M1" location="Index" display="Back to Index" xr:uid="{F4894FAA-118F-44BD-9C3D-EF1CAC551857}"/>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F3BC3-047B-491A-AFA3-8456D77C88E8}">
  <sheetPr codeName="Sheet57">
    <tabColor theme="0"/>
  </sheetPr>
  <dimension ref="A1:M13"/>
  <sheetViews>
    <sheetView workbookViewId="0">
      <selection activeCell="M1" sqref="M1"/>
    </sheetView>
  </sheetViews>
  <sheetFormatPr defaultRowHeight="15.5" x14ac:dyDescent="0.35"/>
  <sheetData>
    <row r="1" spans="1:13" x14ac:dyDescent="0.35">
      <c r="A1" t="s">
        <v>129</v>
      </c>
      <c r="B1" t="s">
        <v>130</v>
      </c>
      <c r="C1" t="s">
        <v>131</v>
      </c>
      <c r="D1" t="s">
        <v>132</v>
      </c>
      <c r="E1" t="s">
        <v>133</v>
      </c>
      <c r="F1" t="s">
        <v>134</v>
      </c>
      <c r="G1" t="s">
        <v>135</v>
      </c>
      <c r="H1" t="s">
        <v>136</v>
      </c>
      <c r="M1" s="44" t="s">
        <v>253</v>
      </c>
    </row>
    <row r="2" spans="1:13" x14ac:dyDescent="0.35">
      <c r="A2" t="s">
        <v>137</v>
      </c>
      <c r="B2" s="6">
        <v>0.36</v>
      </c>
      <c r="C2" s="6">
        <v>0.19</v>
      </c>
      <c r="D2" s="6">
        <v>0.04</v>
      </c>
      <c r="E2" s="6">
        <v>0.17</v>
      </c>
      <c r="F2" s="6">
        <v>7.0000000000000007E-2</v>
      </c>
      <c r="G2" s="6">
        <v>0.1</v>
      </c>
      <c r="H2" s="6">
        <v>0.08</v>
      </c>
    </row>
    <row r="3" spans="1:13" x14ac:dyDescent="0.35">
      <c r="A3" t="s">
        <v>138</v>
      </c>
      <c r="B3" s="6">
        <v>0.4</v>
      </c>
      <c r="C3" s="6">
        <v>0.18</v>
      </c>
      <c r="D3" s="6">
        <v>0.03</v>
      </c>
      <c r="E3" s="6">
        <v>0.16</v>
      </c>
      <c r="F3" s="6">
        <v>0.05</v>
      </c>
      <c r="G3" s="6">
        <v>0.1</v>
      </c>
      <c r="H3" s="6">
        <v>7.0000000000000007E-2</v>
      </c>
    </row>
    <row r="4" spans="1:13" x14ac:dyDescent="0.35">
      <c r="A4" t="s">
        <v>139</v>
      </c>
      <c r="B4" s="6">
        <v>0.39</v>
      </c>
      <c r="C4" s="6">
        <v>0.19</v>
      </c>
      <c r="D4" s="6">
        <v>0.03</v>
      </c>
      <c r="E4" s="6">
        <v>0.15</v>
      </c>
      <c r="F4" s="6">
        <v>0.06</v>
      </c>
      <c r="G4" s="6">
        <v>0.1</v>
      </c>
      <c r="H4" s="6">
        <v>7.0000000000000007E-2</v>
      </c>
    </row>
    <row r="5" spans="1:13" x14ac:dyDescent="0.35">
      <c r="A5" t="s">
        <v>140</v>
      </c>
      <c r="B5" s="6">
        <v>0.37</v>
      </c>
      <c r="C5" s="6">
        <v>0.19</v>
      </c>
      <c r="D5" s="6">
        <v>0.04</v>
      </c>
      <c r="E5" s="6">
        <v>0.16</v>
      </c>
      <c r="F5" s="6">
        <v>0.06</v>
      </c>
      <c r="G5" s="6">
        <v>0.12</v>
      </c>
      <c r="H5" s="6">
        <v>7.0000000000000007E-2</v>
      </c>
    </row>
    <row r="6" spans="1:13" x14ac:dyDescent="0.35">
      <c r="A6" t="s">
        <v>141</v>
      </c>
      <c r="B6" s="6">
        <v>0.4</v>
      </c>
      <c r="C6" s="6">
        <v>0.17</v>
      </c>
      <c r="D6" s="6">
        <v>0.03</v>
      </c>
      <c r="E6" s="6">
        <v>0.15</v>
      </c>
      <c r="F6" s="6">
        <v>0.08</v>
      </c>
      <c r="G6" s="6">
        <v>0.1</v>
      </c>
      <c r="H6" s="6">
        <v>7.0000000000000007E-2</v>
      </c>
    </row>
    <row r="7" spans="1:13" x14ac:dyDescent="0.35">
      <c r="A7" t="s">
        <v>142</v>
      </c>
      <c r="B7" s="6">
        <v>0.41</v>
      </c>
      <c r="C7" s="6">
        <v>0.17</v>
      </c>
      <c r="D7" s="6">
        <v>0.03</v>
      </c>
      <c r="E7" s="6">
        <v>0.16</v>
      </c>
      <c r="F7" s="6">
        <v>0.06</v>
      </c>
      <c r="G7" s="6">
        <v>0.12</v>
      </c>
      <c r="H7" s="6">
        <v>0.05</v>
      </c>
    </row>
    <row r="8" spans="1:13" x14ac:dyDescent="0.35">
      <c r="A8" t="s">
        <v>6</v>
      </c>
      <c r="B8" s="6">
        <v>0.61</v>
      </c>
      <c r="C8" s="6">
        <v>0.12</v>
      </c>
      <c r="D8" s="6">
        <v>0.01</v>
      </c>
      <c r="E8" s="6">
        <v>0.08</v>
      </c>
      <c r="F8" s="6">
        <v>0.08</v>
      </c>
      <c r="G8" s="6">
        <v>0.05</v>
      </c>
      <c r="H8" s="6">
        <v>0.05</v>
      </c>
    </row>
    <row r="9" spans="1:13" x14ac:dyDescent="0.35">
      <c r="A9" t="s">
        <v>143</v>
      </c>
      <c r="B9" s="6">
        <v>0.47</v>
      </c>
      <c r="C9" s="6">
        <v>0.18</v>
      </c>
      <c r="D9" s="6">
        <v>0.03</v>
      </c>
      <c r="E9" s="6">
        <v>0.14000000000000001</v>
      </c>
      <c r="F9" s="6">
        <v>0.05</v>
      </c>
      <c r="G9" s="6">
        <v>0.1</v>
      </c>
      <c r="H9" s="6">
        <v>0.04</v>
      </c>
    </row>
    <row r="10" spans="1:13" x14ac:dyDescent="0.35">
      <c r="A10" t="s">
        <v>144</v>
      </c>
      <c r="B10" s="6">
        <v>0.43</v>
      </c>
      <c r="C10" s="6">
        <v>0.19</v>
      </c>
      <c r="D10" s="6">
        <v>0.04</v>
      </c>
      <c r="E10" s="6">
        <v>0.14000000000000001</v>
      </c>
      <c r="F10" s="6">
        <v>0.04</v>
      </c>
      <c r="G10" s="6">
        <v>0.1</v>
      </c>
      <c r="H10" s="6">
        <v>0.04</v>
      </c>
    </row>
    <row r="11" spans="1:13" x14ac:dyDescent="0.35">
      <c r="A11" t="s">
        <v>145</v>
      </c>
      <c r="B11" s="6">
        <v>0.4</v>
      </c>
      <c r="C11" s="6">
        <v>0.19</v>
      </c>
      <c r="D11" s="6">
        <v>0.03</v>
      </c>
      <c r="E11" s="6">
        <v>0.15</v>
      </c>
      <c r="F11" s="6">
        <v>0.06</v>
      </c>
      <c r="G11" s="6">
        <v>0.1</v>
      </c>
      <c r="H11" s="6">
        <v>0.08</v>
      </c>
    </row>
    <row r="12" spans="1:13" x14ac:dyDescent="0.35">
      <c r="A12" t="s">
        <v>146</v>
      </c>
      <c r="B12" s="6">
        <v>0.51</v>
      </c>
      <c r="C12" s="6">
        <v>0.13</v>
      </c>
      <c r="D12" s="6">
        <v>0.04</v>
      </c>
      <c r="E12" s="6">
        <v>0.12</v>
      </c>
      <c r="F12" s="6">
        <v>0.06</v>
      </c>
      <c r="G12" s="6">
        <v>7.0000000000000007E-2</v>
      </c>
      <c r="H12" s="6">
        <v>0.08</v>
      </c>
    </row>
    <row r="13" spans="1:13" x14ac:dyDescent="0.35">
      <c r="A13" t="s">
        <v>147</v>
      </c>
      <c r="B13" s="6">
        <v>0.43</v>
      </c>
      <c r="C13" s="6">
        <v>0.17</v>
      </c>
      <c r="D13" s="6">
        <v>0.03</v>
      </c>
      <c r="E13" s="6">
        <v>0.14000000000000001</v>
      </c>
      <c r="F13" s="6">
        <v>0.06</v>
      </c>
      <c r="G13" s="6">
        <v>0.09</v>
      </c>
      <c r="H13" s="6">
        <v>0.06</v>
      </c>
    </row>
  </sheetData>
  <hyperlinks>
    <hyperlink ref="M1" location="Index" display="Back to Index" xr:uid="{920F1089-D42F-4F90-8F9D-1431628C6041}"/>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E23C6-CD8F-46E7-9CAC-9D6E9FCD61AD}">
  <sheetPr codeName="Sheet58">
    <tabColor theme="5"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4963A678-B047-4F82-818B-C26AA1080DE1}"/>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D2488-CAE9-44B6-9C16-AE8D4DCE3740}">
  <sheetPr codeName="Sheet59">
    <tabColor theme="0"/>
  </sheetPr>
  <dimension ref="A1:M24"/>
  <sheetViews>
    <sheetView workbookViewId="0">
      <selection activeCell="M1" sqref="M1"/>
    </sheetView>
  </sheetViews>
  <sheetFormatPr defaultRowHeight="15.5" x14ac:dyDescent="0.35"/>
  <sheetData>
    <row r="1" spans="1:13" x14ac:dyDescent="0.35">
      <c r="A1" t="s">
        <v>148</v>
      </c>
      <c r="B1" t="s">
        <v>6</v>
      </c>
      <c r="C1" t="s">
        <v>105</v>
      </c>
      <c r="D1" t="s">
        <v>21</v>
      </c>
      <c r="M1" s="44" t="s">
        <v>253</v>
      </c>
    </row>
    <row r="2" spans="1:13" x14ac:dyDescent="0.35">
      <c r="A2" t="s">
        <v>149</v>
      </c>
      <c r="B2">
        <v>14.6</v>
      </c>
      <c r="C2">
        <v>14.5</v>
      </c>
    </row>
    <row r="3" spans="1:13" x14ac:dyDescent="0.35">
      <c r="A3">
        <v>2001</v>
      </c>
      <c r="B3">
        <v>14.5</v>
      </c>
      <c r="C3">
        <v>14.6</v>
      </c>
    </row>
    <row r="4" spans="1:13" x14ac:dyDescent="0.35">
      <c r="A4">
        <v>2002</v>
      </c>
      <c r="B4">
        <v>15.2</v>
      </c>
      <c r="C4">
        <v>14.6</v>
      </c>
    </row>
    <row r="5" spans="1:13" x14ac:dyDescent="0.35">
      <c r="A5">
        <v>2003</v>
      </c>
      <c r="B5">
        <v>14.8</v>
      </c>
      <c r="C5">
        <v>14.6</v>
      </c>
    </row>
    <row r="6" spans="1:13" x14ac:dyDescent="0.35">
      <c r="A6">
        <v>2004</v>
      </c>
      <c r="B6">
        <v>18.100000000000001</v>
      </c>
      <c r="C6">
        <v>14.5</v>
      </c>
    </row>
    <row r="7" spans="1:13" x14ac:dyDescent="0.35">
      <c r="A7">
        <v>2005</v>
      </c>
      <c r="B7">
        <v>17.5</v>
      </c>
      <c r="C7">
        <v>15.2</v>
      </c>
    </row>
    <row r="8" spans="1:13" x14ac:dyDescent="0.35">
      <c r="A8">
        <v>2006</v>
      </c>
      <c r="B8">
        <v>19.2</v>
      </c>
      <c r="C8">
        <v>16.2</v>
      </c>
    </row>
    <row r="9" spans="1:13" x14ac:dyDescent="0.35">
      <c r="A9">
        <v>2007</v>
      </c>
      <c r="B9">
        <v>16.3</v>
      </c>
      <c r="C9">
        <v>15.4</v>
      </c>
    </row>
    <row r="10" spans="1:13" x14ac:dyDescent="0.35">
      <c r="A10">
        <v>2008</v>
      </c>
      <c r="B10">
        <v>17</v>
      </c>
      <c r="C10">
        <v>16.100000000000001</v>
      </c>
    </row>
    <row r="11" spans="1:13" x14ac:dyDescent="0.35">
      <c r="A11">
        <v>2009</v>
      </c>
      <c r="B11">
        <v>16.5</v>
      </c>
      <c r="C11">
        <v>17.899999999999999</v>
      </c>
    </row>
    <row r="12" spans="1:13" x14ac:dyDescent="0.35">
      <c r="A12">
        <v>2010</v>
      </c>
      <c r="B12">
        <v>16.2</v>
      </c>
      <c r="C12">
        <v>17.8</v>
      </c>
    </row>
    <row r="13" spans="1:13" x14ac:dyDescent="0.35">
      <c r="A13">
        <v>2011</v>
      </c>
      <c r="B13">
        <v>17.2</v>
      </c>
      <c r="C13">
        <v>19.100000000000001</v>
      </c>
    </row>
    <row r="14" spans="1:13" x14ac:dyDescent="0.35">
      <c r="A14">
        <v>2012</v>
      </c>
      <c r="B14">
        <v>17.5</v>
      </c>
      <c r="C14">
        <v>18.3</v>
      </c>
    </row>
    <row r="15" spans="1:13" x14ac:dyDescent="0.35">
      <c r="A15">
        <v>2013</v>
      </c>
      <c r="B15">
        <v>16.2</v>
      </c>
      <c r="C15">
        <v>17.899999999999999</v>
      </c>
    </row>
    <row r="16" spans="1:13" x14ac:dyDescent="0.35">
      <c r="A16">
        <v>2014</v>
      </c>
      <c r="B16">
        <v>13.4</v>
      </c>
      <c r="C16">
        <v>16</v>
      </c>
    </row>
    <row r="17" spans="1:3" x14ac:dyDescent="0.35">
      <c r="A17">
        <v>2015</v>
      </c>
      <c r="B17">
        <v>11.6</v>
      </c>
      <c r="C17">
        <v>14.7</v>
      </c>
    </row>
    <row r="18" spans="1:3" x14ac:dyDescent="0.35">
      <c r="A18">
        <v>2016</v>
      </c>
      <c r="B18">
        <v>12.8</v>
      </c>
      <c r="C18">
        <v>14</v>
      </c>
    </row>
    <row r="19" spans="1:3" x14ac:dyDescent="0.35">
      <c r="A19">
        <v>2017</v>
      </c>
      <c r="B19">
        <v>11.8</v>
      </c>
      <c r="C19">
        <v>13.2</v>
      </c>
    </row>
    <row r="20" spans="1:3" x14ac:dyDescent="0.35">
      <c r="A20">
        <v>2018</v>
      </c>
      <c r="B20">
        <v>14.3</v>
      </c>
      <c r="C20">
        <v>13.5</v>
      </c>
    </row>
    <row r="21" spans="1:3" x14ac:dyDescent="0.35">
      <c r="A21">
        <v>2019</v>
      </c>
      <c r="B21">
        <v>12.7</v>
      </c>
      <c r="C21">
        <v>13.6</v>
      </c>
    </row>
    <row r="22" spans="1:3" x14ac:dyDescent="0.35">
      <c r="A22">
        <v>2020</v>
      </c>
      <c r="B22">
        <v>12.8</v>
      </c>
      <c r="C22">
        <v>13.7</v>
      </c>
    </row>
    <row r="23" spans="1:3" x14ac:dyDescent="0.35">
      <c r="A23">
        <v>2021</v>
      </c>
      <c r="B23">
        <v>12.1</v>
      </c>
      <c r="C23">
        <v>12.4</v>
      </c>
    </row>
    <row r="24" spans="1:3" x14ac:dyDescent="0.35">
      <c r="A24">
        <v>2022</v>
      </c>
      <c r="B24">
        <v>13.2</v>
      </c>
      <c r="C24">
        <v>13.2</v>
      </c>
    </row>
  </sheetData>
  <hyperlinks>
    <hyperlink ref="M1" location="Index" display="Back to Index" xr:uid="{BB37ECE7-5F48-4326-9F60-663C38EDD5C0}"/>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35DA5-B125-4A81-81AF-328E39BA905D}">
  <sheetPr codeName="Sheet60">
    <tabColor theme="5"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B9207745-A33A-4A46-9B72-D1D20FD2FBE1}"/>
  </hyperlinks>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7A483-BA72-441C-A3FE-C49302DF6A89}">
  <sheetPr codeName="Sheet61">
    <tabColor theme="0"/>
  </sheetPr>
  <dimension ref="A1:M21"/>
  <sheetViews>
    <sheetView workbookViewId="0">
      <selection activeCell="M1" sqref="M1"/>
    </sheetView>
  </sheetViews>
  <sheetFormatPr defaultRowHeight="15.5" x14ac:dyDescent="0.35"/>
  <sheetData>
    <row r="1" spans="1:13" x14ac:dyDescent="0.35">
      <c r="A1" t="s">
        <v>0</v>
      </c>
      <c r="B1" t="s">
        <v>6</v>
      </c>
      <c r="C1" t="s">
        <v>7</v>
      </c>
      <c r="M1" s="44" t="s">
        <v>253</v>
      </c>
    </row>
    <row r="2" spans="1:13" x14ac:dyDescent="0.35">
      <c r="A2">
        <v>2004</v>
      </c>
      <c r="B2">
        <v>20.100000000000001</v>
      </c>
      <c r="C2">
        <v>21.4</v>
      </c>
    </row>
    <row r="3" spans="1:13" x14ac:dyDescent="0.35">
      <c r="A3">
        <v>2005</v>
      </c>
      <c r="B3">
        <v>19.399999999999999</v>
      </c>
      <c r="C3">
        <v>21.3</v>
      </c>
    </row>
    <row r="4" spans="1:13" x14ac:dyDescent="0.35">
      <c r="A4">
        <v>2006</v>
      </c>
      <c r="B4">
        <v>19.600000000000001</v>
      </c>
      <c r="C4">
        <v>20.8</v>
      </c>
    </row>
    <row r="5" spans="1:13" x14ac:dyDescent="0.35">
      <c r="A5">
        <v>2007</v>
      </c>
      <c r="B5">
        <v>18.399999999999999</v>
      </c>
      <c r="C5">
        <v>19.7</v>
      </c>
    </row>
    <row r="6" spans="1:13" x14ac:dyDescent="0.35">
      <c r="A6">
        <v>2008</v>
      </c>
      <c r="B6">
        <v>17.899999999999999</v>
      </c>
      <c r="C6">
        <v>19.399999999999999</v>
      </c>
    </row>
    <row r="7" spans="1:13" x14ac:dyDescent="0.35">
      <c r="A7">
        <v>2009</v>
      </c>
      <c r="B7">
        <v>18</v>
      </c>
      <c r="C7">
        <v>18.600000000000001</v>
      </c>
    </row>
    <row r="8" spans="1:13" x14ac:dyDescent="0.35">
      <c r="A8">
        <v>2010</v>
      </c>
      <c r="B8">
        <v>18.899999999999999</v>
      </c>
      <c r="C8">
        <v>18.600000000000001</v>
      </c>
    </row>
    <row r="9" spans="1:13" x14ac:dyDescent="0.35">
      <c r="A9">
        <v>2011</v>
      </c>
      <c r="B9">
        <v>17.899999999999999</v>
      </c>
      <c r="C9">
        <v>18.3</v>
      </c>
    </row>
    <row r="10" spans="1:13" x14ac:dyDescent="0.35">
      <c r="A10">
        <v>2012</v>
      </c>
      <c r="B10">
        <v>18.399999999999999</v>
      </c>
      <c r="C10">
        <v>18.7</v>
      </c>
    </row>
    <row r="11" spans="1:13" x14ac:dyDescent="0.35">
      <c r="A11">
        <v>2013</v>
      </c>
      <c r="B11">
        <v>19.7</v>
      </c>
      <c r="C11">
        <v>19</v>
      </c>
    </row>
    <row r="12" spans="1:13" x14ac:dyDescent="0.35">
      <c r="A12">
        <v>2014</v>
      </c>
      <c r="B12">
        <v>19.899999999999999</v>
      </c>
      <c r="C12">
        <v>19</v>
      </c>
    </row>
    <row r="13" spans="1:13" x14ac:dyDescent="0.35">
      <c r="A13">
        <v>2015</v>
      </c>
      <c r="B13">
        <v>19.7</v>
      </c>
      <c r="C13">
        <v>18.899999999999999</v>
      </c>
    </row>
    <row r="14" spans="1:13" x14ac:dyDescent="0.35">
      <c r="A14">
        <v>2016</v>
      </c>
      <c r="B14">
        <v>18.7</v>
      </c>
      <c r="C14">
        <v>18.100000000000001</v>
      </c>
    </row>
    <row r="15" spans="1:13" x14ac:dyDescent="0.35">
      <c r="A15">
        <v>2017</v>
      </c>
      <c r="B15">
        <v>17.8</v>
      </c>
      <c r="C15">
        <v>18.100000000000001</v>
      </c>
    </row>
    <row r="16" spans="1:13" x14ac:dyDescent="0.35">
      <c r="A16">
        <v>2018</v>
      </c>
      <c r="B16">
        <v>17.7</v>
      </c>
      <c r="C16">
        <v>18.2</v>
      </c>
    </row>
    <row r="17" spans="1:3" x14ac:dyDescent="0.35">
      <c r="A17">
        <v>2019</v>
      </c>
      <c r="B17">
        <v>17.399999999999999</v>
      </c>
      <c r="C17">
        <v>18.7</v>
      </c>
    </row>
    <row r="18" spans="1:3" x14ac:dyDescent="0.35">
      <c r="A18">
        <v>2020</v>
      </c>
      <c r="B18">
        <v>17.7</v>
      </c>
      <c r="C18">
        <v>17.8</v>
      </c>
    </row>
    <row r="19" spans="1:3" x14ac:dyDescent="0.35">
      <c r="A19">
        <v>2021</v>
      </c>
      <c r="B19">
        <v>18.3</v>
      </c>
      <c r="C19">
        <v>18.3</v>
      </c>
    </row>
    <row r="20" spans="1:3" x14ac:dyDescent="0.35">
      <c r="A20">
        <v>2022</v>
      </c>
      <c r="B20">
        <v>17.5</v>
      </c>
      <c r="C20">
        <v>18.7</v>
      </c>
    </row>
    <row r="21" spans="1:3" x14ac:dyDescent="0.35">
      <c r="A21">
        <v>2023</v>
      </c>
      <c r="B21">
        <v>18.3</v>
      </c>
      <c r="C21">
        <v>19.100000000000001</v>
      </c>
    </row>
  </sheetData>
  <hyperlinks>
    <hyperlink ref="M1" location="Index" display="Back to Index" xr:uid="{ADCCC40A-F6E3-4F24-AA4E-61559DC2E7BD}"/>
  </hyperlinks>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3DBC3C-14F5-492F-918E-A493EDC35141}">
  <sheetPr codeName="Sheet62">
    <tabColor theme="5"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6F8B429F-E393-47F4-9C21-7B63D49B12EA}"/>
  </hyperlinks>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A1AC0-41E4-40F9-8DD3-ADD49C021695}">
  <sheetPr codeName="Sheet63">
    <tabColor theme="0"/>
  </sheetPr>
  <dimension ref="A1:M19"/>
  <sheetViews>
    <sheetView workbookViewId="0">
      <selection activeCell="M1" sqref="M1"/>
    </sheetView>
  </sheetViews>
  <sheetFormatPr defaultRowHeight="15.5" x14ac:dyDescent="0.35"/>
  <sheetData>
    <row r="1" spans="1:13" x14ac:dyDescent="0.35">
      <c r="A1" t="s">
        <v>0</v>
      </c>
      <c r="B1" t="s">
        <v>150</v>
      </c>
      <c r="C1" t="s">
        <v>151</v>
      </c>
      <c r="M1" s="44" t="s">
        <v>253</v>
      </c>
    </row>
    <row r="2" spans="1:13" x14ac:dyDescent="0.35">
      <c r="A2" t="s">
        <v>152</v>
      </c>
      <c r="B2">
        <v>11010</v>
      </c>
      <c r="C2">
        <v>5280</v>
      </c>
    </row>
    <row r="3" spans="1:13" x14ac:dyDescent="0.35">
      <c r="A3" t="s">
        <v>153</v>
      </c>
      <c r="B3">
        <v>11090</v>
      </c>
      <c r="C3">
        <v>6250</v>
      </c>
    </row>
    <row r="4" spans="1:13" x14ac:dyDescent="0.35">
      <c r="A4" t="s">
        <v>154</v>
      </c>
      <c r="B4">
        <v>14520</v>
      </c>
      <c r="C4">
        <v>6210</v>
      </c>
    </row>
    <row r="5" spans="1:13" x14ac:dyDescent="0.35">
      <c r="A5" t="s">
        <v>155</v>
      </c>
      <c r="B5">
        <v>17180</v>
      </c>
      <c r="C5">
        <v>8620</v>
      </c>
    </row>
    <row r="6" spans="1:13" x14ac:dyDescent="0.35">
      <c r="A6" t="s">
        <v>156</v>
      </c>
      <c r="B6">
        <v>20350</v>
      </c>
      <c r="C6">
        <v>11780</v>
      </c>
    </row>
    <row r="7" spans="1:13" x14ac:dyDescent="0.35">
      <c r="A7" t="s">
        <v>157</v>
      </c>
      <c r="B7">
        <v>41400</v>
      </c>
      <c r="C7">
        <v>14550</v>
      </c>
    </row>
    <row r="8" spans="1:13" x14ac:dyDescent="0.35">
      <c r="A8" t="s">
        <v>158</v>
      </c>
      <c r="B8">
        <v>47230</v>
      </c>
      <c r="C8">
        <v>21480</v>
      </c>
    </row>
    <row r="9" spans="1:13" x14ac:dyDescent="0.35">
      <c r="A9" t="s">
        <v>159</v>
      </c>
      <c r="B9">
        <v>45070</v>
      </c>
      <c r="C9">
        <v>20920</v>
      </c>
    </row>
    <row r="10" spans="1:13" x14ac:dyDescent="0.35">
      <c r="A10" t="s">
        <v>160</v>
      </c>
      <c r="B10">
        <v>40050</v>
      </c>
      <c r="C10">
        <v>20760</v>
      </c>
    </row>
    <row r="11" spans="1:13" x14ac:dyDescent="0.35">
      <c r="A11" t="s">
        <v>161</v>
      </c>
      <c r="B11">
        <v>45550</v>
      </c>
      <c r="C11">
        <v>22180</v>
      </c>
    </row>
    <row r="12" spans="1:13" x14ac:dyDescent="0.35">
      <c r="A12" t="s">
        <v>162</v>
      </c>
      <c r="B12">
        <v>46280</v>
      </c>
      <c r="C12">
        <v>23870</v>
      </c>
    </row>
    <row r="13" spans="1:13" x14ac:dyDescent="0.35">
      <c r="A13" t="s">
        <v>163</v>
      </c>
      <c r="B13">
        <v>44380</v>
      </c>
      <c r="C13">
        <v>23800</v>
      </c>
    </row>
    <row r="14" spans="1:13" x14ac:dyDescent="0.35">
      <c r="A14" t="s">
        <v>164</v>
      </c>
      <c r="B14">
        <v>36830</v>
      </c>
      <c r="C14">
        <v>23970</v>
      </c>
    </row>
    <row r="15" spans="1:13" x14ac:dyDescent="0.35">
      <c r="A15" t="s">
        <v>165</v>
      </c>
      <c r="B15">
        <v>40750</v>
      </c>
      <c r="C15">
        <v>15750</v>
      </c>
    </row>
    <row r="16" spans="1:13" x14ac:dyDescent="0.35">
      <c r="A16" t="s">
        <v>166</v>
      </c>
      <c r="B16">
        <v>33890</v>
      </c>
      <c r="C16">
        <v>12860</v>
      </c>
    </row>
    <row r="17" spans="1:3" x14ac:dyDescent="0.35">
      <c r="A17" t="s">
        <v>167</v>
      </c>
      <c r="B17">
        <v>36930</v>
      </c>
      <c r="C17">
        <v>15290</v>
      </c>
    </row>
    <row r="18" spans="1:3" x14ac:dyDescent="0.35">
      <c r="A18" t="s">
        <v>168</v>
      </c>
      <c r="B18">
        <v>37790</v>
      </c>
      <c r="C18">
        <v>13590</v>
      </c>
    </row>
    <row r="19" spans="1:3" x14ac:dyDescent="0.35">
      <c r="A19" t="s">
        <v>169</v>
      </c>
      <c r="B19">
        <v>28930</v>
      </c>
      <c r="C19">
        <v>10630</v>
      </c>
    </row>
  </sheetData>
  <hyperlinks>
    <hyperlink ref="M1" location="Index" display="Back to Index" xr:uid="{B24076AF-2B35-4E20-A1AE-8AD486A4C6F9}"/>
  </hyperlinks>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CE6C22-B4F8-4FAC-82E3-937D5670876B}">
  <sheetPr codeName="Sheet64">
    <tabColor theme="0"/>
  </sheetPr>
  <dimension ref="A1:M19"/>
  <sheetViews>
    <sheetView workbookViewId="0">
      <selection activeCell="M1" sqref="M1"/>
    </sheetView>
  </sheetViews>
  <sheetFormatPr defaultRowHeight="15.5" x14ac:dyDescent="0.35"/>
  <sheetData>
    <row r="1" spans="1:13" x14ac:dyDescent="0.35">
      <c r="A1" t="s">
        <v>0</v>
      </c>
      <c r="B1" t="s">
        <v>150</v>
      </c>
      <c r="C1" t="s">
        <v>151</v>
      </c>
      <c r="M1" s="44" t="s">
        <v>253</v>
      </c>
    </row>
    <row r="2" spans="1:13" x14ac:dyDescent="0.35">
      <c r="A2" t="s">
        <v>152</v>
      </c>
      <c r="B2">
        <v>172600</v>
      </c>
      <c r="C2">
        <v>97700</v>
      </c>
    </row>
    <row r="3" spans="1:13" x14ac:dyDescent="0.35">
      <c r="A3" t="s">
        <v>153</v>
      </c>
      <c r="B3">
        <v>181800</v>
      </c>
      <c r="C3">
        <v>110700</v>
      </c>
    </row>
    <row r="4" spans="1:13" x14ac:dyDescent="0.35">
      <c r="A4" t="s">
        <v>154</v>
      </c>
      <c r="B4">
        <v>221500</v>
      </c>
      <c r="C4">
        <v>111300</v>
      </c>
    </row>
    <row r="5" spans="1:13" x14ac:dyDescent="0.35">
      <c r="A5" t="s">
        <v>155</v>
      </c>
      <c r="B5">
        <v>237100</v>
      </c>
      <c r="C5">
        <v>141700</v>
      </c>
    </row>
    <row r="6" spans="1:13" x14ac:dyDescent="0.35">
      <c r="A6" t="s">
        <v>156</v>
      </c>
      <c r="B6">
        <v>276900</v>
      </c>
      <c r="C6">
        <v>170000</v>
      </c>
    </row>
    <row r="7" spans="1:13" x14ac:dyDescent="0.35">
      <c r="A7" t="s">
        <v>157</v>
      </c>
      <c r="B7">
        <v>453000</v>
      </c>
      <c r="C7">
        <v>198800</v>
      </c>
    </row>
    <row r="8" spans="1:13" x14ac:dyDescent="0.35">
      <c r="A8" t="s">
        <v>158</v>
      </c>
      <c r="B8">
        <v>515000</v>
      </c>
      <c r="C8">
        <v>255700</v>
      </c>
    </row>
    <row r="9" spans="1:13" x14ac:dyDescent="0.35">
      <c r="A9" t="s">
        <v>159</v>
      </c>
      <c r="B9">
        <v>504200</v>
      </c>
      <c r="C9">
        <v>250000</v>
      </c>
    </row>
    <row r="10" spans="1:13" x14ac:dyDescent="0.35">
      <c r="A10" t="s">
        <v>160</v>
      </c>
      <c r="B10">
        <v>434600</v>
      </c>
      <c r="C10">
        <v>253500</v>
      </c>
    </row>
    <row r="11" spans="1:13" x14ac:dyDescent="0.35">
      <c r="A11" t="s">
        <v>161</v>
      </c>
      <c r="B11">
        <v>494200</v>
      </c>
      <c r="C11">
        <v>258400</v>
      </c>
    </row>
    <row r="12" spans="1:13" x14ac:dyDescent="0.35">
      <c r="A12" t="s">
        <v>162</v>
      </c>
      <c r="B12">
        <v>503900</v>
      </c>
      <c r="C12">
        <v>269190</v>
      </c>
    </row>
    <row r="13" spans="1:13" x14ac:dyDescent="0.35">
      <c r="A13" t="s">
        <v>163</v>
      </c>
      <c r="B13">
        <v>489140</v>
      </c>
      <c r="C13">
        <v>275230</v>
      </c>
    </row>
    <row r="14" spans="1:13" x14ac:dyDescent="0.35">
      <c r="A14" t="s">
        <v>164</v>
      </c>
      <c r="B14">
        <v>371190</v>
      </c>
      <c r="C14">
        <v>273700</v>
      </c>
    </row>
    <row r="15" spans="1:13" x14ac:dyDescent="0.35">
      <c r="A15" t="s">
        <v>165</v>
      </c>
      <c r="B15">
        <v>389600</v>
      </c>
      <c r="C15">
        <v>183540</v>
      </c>
    </row>
    <row r="16" spans="1:13" x14ac:dyDescent="0.35">
      <c r="A16" t="s">
        <v>166</v>
      </c>
      <c r="B16">
        <v>319300</v>
      </c>
      <c r="C16">
        <v>145710</v>
      </c>
    </row>
    <row r="17" spans="1:3" x14ac:dyDescent="0.35">
      <c r="A17" t="s">
        <v>167</v>
      </c>
      <c r="B17">
        <v>318070</v>
      </c>
      <c r="C17">
        <v>155270</v>
      </c>
    </row>
    <row r="18" spans="1:3" x14ac:dyDescent="0.35">
      <c r="A18" t="s">
        <v>168</v>
      </c>
      <c r="B18">
        <v>345740</v>
      </c>
      <c r="C18">
        <v>135810</v>
      </c>
    </row>
    <row r="19" spans="1:3" x14ac:dyDescent="0.35">
      <c r="A19" t="s">
        <v>169</v>
      </c>
      <c r="B19">
        <v>272110</v>
      </c>
      <c r="C19">
        <v>104420</v>
      </c>
    </row>
  </sheetData>
  <hyperlinks>
    <hyperlink ref="M1" location="Index" display="Back to Index" xr:uid="{A9E24E8C-9475-4E00-8D83-B2A93B5616BD}"/>
  </hyperlinks>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628D1-0815-4ECE-962E-DF5A68FC3300}">
  <sheetPr codeName="Sheet65">
    <tabColor theme="0"/>
  </sheetPr>
  <dimension ref="A1:M1"/>
  <sheetViews>
    <sheetView workbookViewId="0">
      <selection activeCell="M1" sqref="M1"/>
    </sheetView>
  </sheetViews>
  <sheetFormatPr defaultRowHeight="15.5" x14ac:dyDescent="0.35"/>
  <sheetData>
    <row r="1" spans="1:13" x14ac:dyDescent="0.35">
      <c r="A1" s="45" t="s">
        <v>24</v>
      </c>
      <c r="B1" s="45"/>
      <c r="C1" s="45"/>
      <c r="D1" s="45"/>
      <c r="E1" s="45"/>
      <c r="F1" s="45"/>
      <c r="G1" s="45"/>
      <c r="M1" s="44" t="s">
        <v>253</v>
      </c>
    </row>
  </sheetData>
  <mergeCells count="1">
    <mergeCell ref="A1:G1"/>
  </mergeCells>
  <hyperlinks>
    <hyperlink ref="M1" location="Index" display="Back to Index" xr:uid="{441B8F00-B3DB-4F91-8713-8AEC29AFFD0C}"/>
  </hyperlinks>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49500-217E-46CB-BF14-D62736C1D86E}">
  <sheetPr codeName="Sheet66">
    <tabColor theme="5"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9DE1147F-A587-48E0-91EB-86EEC34F1062}"/>
  </hyperlink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379F1-FA19-4A9B-9AAA-7381111480D1}">
  <sheetPr codeName="Sheet67">
    <tabColor theme="0"/>
  </sheetPr>
  <dimension ref="A1:M1"/>
  <sheetViews>
    <sheetView workbookViewId="0">
      <selection activeCell="M1" sqref="M1"/>
    </sheetView>
  </sheetViews>
  <sheetFormatPr defaultRowHeight="15.5" x14ac:dyDescent="0.35"/>
  <sheetData>
    <row r="1" spans="1:13" x14ac:dyDescent="0.35">
      <c r="A1" s="45" t="s">
        <v>184</v>
      </c>
      <c r="B1" s="45"/>
      <c r="C1" s="45"/>
      <c r="D1" s="45"/>
      <c r="E1" s="45"/>
      <c r="F1" s="45"/>
      <c r="G1" s="45"/>
      <c r="M1" s="44" t="s">
        <v>253</v>
      </c>
    </row>
  </sheetData>
  <mergeCells count="1">
    <mergeCell ref="A1:G1"/>
  </mergeCells>
  <hyperlinks>
    <hyperlink ref="M1" location="Index" display="Back to Index" xr:uid="{2FBDB54C-CDBC-4075-8756-04FC24505404}"/>
  </hyperlinks>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E66E2-EC72-478E-B3FD-C62CC1F840CD}">
  <sheetPr codeName="Sheet68">
    <tabColor theme="0"/>
  </sheetPr>
  <dimension ref="A1:M14"/>
  <sheetViews>
    <sheetView workbookViewId="0">
      <selection activeCell="M1" sqref="M1"/>
    </sheetView>
  </sheetViews>
  <sheetFormatPr defaultRowHeight="15.5" x14ac:dyDescent="0.35"/>
  <sheetData>
    <row r="1" spans="1:13" x14ac:dyDescent="0.35">
      <c r="A1" t="s">
        <v>0</v>
      </c>
      <c r="B1" t="s">
        <v>6</v>
      </c>
      <c r="C1" t="s">
        <v>170</v>
      </c>
      <c r="M1" s="44" t="s">
        <v>253</v>
      </c>
    </row>
    <row r="2" spans="1:13" x14ac:dyDescent="0.35">
      <c r="A2" t="s">
        <v>171</v>
      </c>
      <c r="B2">
        <v>10.8</v>
      </c>
      <c r="C2">
        <v>5.0999999999999996</v>
      </c>
    </row>
    <row r="3" spans="1:13" x14ac:dyDescent="0.35">
      <c r="A3" t="s">
        <v>172</v>
      </c>
      <c r="B3">
        <v>9.8000000000000007</v>
      </c>
      <c r="C3">
        <v>5.0999999999999996</v>
      </c>
    </row>
    <row r="4" spans="1:13" x14ac:dyDescent="0.35">
      <c r="A4" t="s">
        <v>173</v>
      </c>
      <c r="B4">
        <v>9.9</v>
      </c>
      <c r="C4">
        <v>5.0999999999999996</v>
      </c>
    </row>
    <row r="5" spans="1:13" x14ac:dyDescent="0.35">
      <c r="A5" t="s">
        <v>174</v>
      </c>
      <c r="B5">
        <v>9.1999999999999993</v>
      </c>
      <c r="C5">
        <v>5.0999999999999996</v>
      </c>
    </row>
    <row r="6" spans="1:13" x14ac:dyDescent="0.35">
      <c r="A6" t="s">
        <v>175</v>
      </c>
      <c r="B6">
        <v>9.4</v>
      </c>
      <c r="C6">
        <v>5.0999999999999996</v>
      </c>
    </row>
    <row r="7" spans="1:13" x14ac:dyDescent="0.35">
      <c r="A7" t="s">
        <v>176</v>
      </c>
      <c r="B7">
        <v>9.1999999999999993</v>
      </c>
      <c r="C7">
        <v>5.0999999999999996</v>
      </c>
    </row>
    <row r="8" spans="1:13" x14ac:dyDescent="0.35">
      <c r="A8" t="s">
        <v>177</v>
      </c>
      <c r="B8">
        <v>9.5</v>
      </c>
      <c r="C8">
        <v>5.0999999999999996</v>
      </c>
    </row>
    <row r="9" spans="1:13" x14ac:dyDescent="0.35">
      <c r="A9" t="s">
        <v>178</v>
      </c>
      <c r="B9">
        <v>9.6999999999999993</v>
      </c>
      <c r="C9">
        <v>5.0999999999999996</v>
      </c>
    </row>
    <row r="10" spans="1:13" x14ac:dyDescent="0.35">
      <c r="A10" t="s">
        <v>179</v>
      </c>
      <c r="B10">
        <v>10</v>
      </c>
      <c r="C10">
        <v>5.0999999999999996</v>
      </c>
    </row>
    <row r="11" spans="1:13" x14ac:dyDescent="0.35">
      <c r="A11" t="s">
        <v>180</v>
      </c>
      <c r="B11">
        <v>10.3</v>
      </c>
      <c r="C11">
        <v>5.0999999999999996</v>
      </c>
    </row>
    <row r="12" spans="1:13" x14ac:dyDescent="0.35">
      <c r="A12" t="s">
        <v>181</v>
      </c>
      <c r="B12">
        <v>11</v>
      </c>
      <c r="C12">
        <v>5.0999999999999996</v>
      </c>
    </row>
    <row r="13" spans="1:13" x14ac:dyDescent="0.35">
      <c r="A13" t="s">
        <v>182</v>
      </c>
      <c r="B13">
        <v>9.6999999999999993</v>
      </c>
      <c r="C13">
        <v>5</v>
      </c>
    </row>
    <row r="14" spans="1:13" x14ac:dyDescent="0.35">
      <c r="A14" t="s">
        <v>183</v>
      </c>
      <c r="B14">
        <v>9</v>
      </c>
      <c r="C14">
        <v>4.8</v>
      </c>
    </row>
  </sheetData>
  <hyperlinks>
    <hyperlink ref="M1" location="Index" display="Back to Index" xr:uid="{4971ECBA-449F-4219-89FD-11718C7A4318}"/>
  </hyperlinks>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45CE3-B384-4124-B9E4-3DE2BF7BE9CD}">
  <sheetPr codeName="Sheet69">
    <tabColor theme="5"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2B3369BA-1FBE-4DB0-BD16-6A81ABB53955}"/>
  </hyperlinks>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83C350-110D-457A-A741-C46129B90CC5}">
  <sheetPr codeName="Sheet70">
    <tabColor theme="0"/>
  </sheetPr>
  <dimension ref="A1:M1"/>
  <sheetViews>
    <sheetView workbookViewId="0">
      <selection activeCell="M1" sqref="M1"/>
    </sheetView>
  </sheetViews>
  <sheetFormatPr defaultRowHeight="15.5" x14ac:dyDescent="0.35"/>
  <sheetData>
    <row r="1" spans="1:13" x14ac:dyDescent="0.35">
      <c r="A1" s="45" t="s">
        <v>184</v>
      </c>
      <c r="B1" s="45"/>
      <c r="C1" s="45"/>
      <c r="D1" s="45"/>
      <c r="E1" s="45"/>
      <c r="F1" s="45"/>
      <c r="G1" s="45"/>
      <c r="M1" s="44" t="s">
        <v>253</v>
      </c>
    </row>
  </sheetData>
  <mergeCells count="1">
    <mergeCell ref="A1:G1"/>
  </mergeCells>
  <hyperlinks>
    <hyperlink ref="M1" location="Index" display="Back to Index" xr:uid="{4043FD6E-4694-453A-92DE-09C8DCFD6560}"/>
  </hyperlinks>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9DC1E-0BC2-4565-A1F2-5FE8B199249D}">
  <sheetPr codeName="Sheet71">
    <tabColor theme="9" tint="-0.49998474074526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0C0BCE89-81DA-47D2-BFF3-E11B7560618B}"/>
  </hyperlinks>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91BA7-37C8-4CCC-A9AC-7B1A0E4B7006}">
  <sheetPr codeName="Sheet72">
    <tabColor theme="9" tint="0.39997558519241921"/>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EC9F0E66-DFC9-4E3D-8F52-C9550FB6081C}"/>
  </hyperlink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32E92-FFCB-4CF7-9E6D-C9B53C29A439}">
  <sheetPr codeName="Sheet73">
    <tabColor theme="9"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BD957649-3A67-476B-9A31-F4857A75BF02}"/>
  </hyperlinks>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6FFB11-DAE9-4803-8C85-F070623085A0}">
  <sheetPr codeName="Sheet74">
    <tabColor theme="0"/>
  </sheetPr>
  <dimension ref="A1:M14"/>
  <sheetViews>
    <sheetView workbookViewId="0">
      <selection activeCell="M1" sqref="M1"/>
    </sheetView>
  </sheetViews>
  <sheetFormatPr defaultRowHeight="15.5" x14ac:dyDescent="0.35"/>
  <sheetData>
    <row r="1" spans="1:13" x14ac:dyDescent="0.35">
      <c r="A1" t="s">
        <v>0</v>
      </c>
      <c r="B1" t="s">
        <v>6</v>
      </c>
      <c r="C1" t="s">
        <v>7</v>
      </c>
      <c r="M1" s="44" t="s">
        <v>253</v>
      </c>
    </row>
    <row r="2" spans="1:13" x14ac:dyDescent="0.35">
      <c r="A2" t="s">
        <v>185</v>
      </c>
      <c r="B2">
        <v>529</v>
      </c>
      <c r="C2">
        <v>508</v>
      </c>
    </row>
    <row r="3" spans="1:13" x14ac:dyDescent="0.35">
      <c r="A3" t="s">
        <v>186</v>
      </c>
      <c r="B3">
        <v>513</v>
      </c>
      <c r="C3">
        <v>502</v>
      </c>
    </row>
    <row r="4" spans="1:13" x14ac:dyDescent="0.35">
      <c r="A4" t="s">
        <v>187</v>
      </c>
      <c r="B4">
        <v>507</v>
      </c>
      <c r="C4">
        <v>495</v>
      </c>
    </row>
    <row r="5" spans="1:13" x14ac:dyDescent="0.35">
      <c r="A5" t="s">
        <v>188</v>
      </c>
      <c r="B5">
        <v>503</v>
      </c>
      <c r="C5">
        <v>493</v>
      </c>
    </row>
    <row r="6" spans="1:13" x14ac:dyDescent="0.35">
      <c r="A6" t="s">
        <v>189</v>
      </c>
      <c r="B6">
        <v>507</v>
      </c>
      <c r="C6">
        <v>500</v>
      </c>
    </row>
    <row r="7" spans="1:13" x14ac:dyDescent="0.35">
      <c r="A7" t="s">
        <v>190</v>
      </c>
      <c r="B7">
        <v>518</v>
      </c>
      <c r="C7">
        <v>511</v>
      </c>
    </row>
    <row r="8" spans="1:13" x14ac:dyDescent="0.35">
      <c r="A8" t="s">
        <v>191</v>
      </c>
      <c r="B8">
        <v>522</v>
      </c>
      <c r="C8">
        <v>523</v>
      </c>
    </row>
    <row r="9" spans="1:13" x14ac:dyDescent="0.35">
      <c r="A9" t="s">
        <v>192</v>
      </c>
      <c r="B9">
        <v>531</v>
      </c>
      <c r="C9">
        <v>529</v>
      </c>
    </row>
    <row r="10" spans="1:13" x14ac:dyDescent="0.35">
      <c r="A10" t="s">
        <v>193</v>
      </c>
      <c r="B10">
        <v>538</v>
      </c>
      <c r="C10">
        <v>532</v>
      </c>
    </row>
    <row r="11" spans="1:13" x14ac:dyDescent="0.35">
      <c r="A11" t="s">
        <v>194</v>
      </c>
      <c r="B11">
        <v>550</v>
      </c>
      <c r="C11">
        <v>538</v>
      </c>
    </row>
    <row r="12" spans="1:13" x14ac:dyDescent="0.35">
      <c r="A12" t="s">
        <v>195</v>
      </c>
      <c r="B12">
        <v>564</v>
      </c>
      <c r="C12">
        <v>542</v>
      </c>
    </row>
    <row r="13" spans="1:13" x14ac:dyDescent="0.35">
      <c r="A13" t="s">
        <v>196</v>
      </c>
      <c r="B13">
        <v>598</v>
      </c>
      <c r="C13">
        <v>554</v>
      </c>
    </row>
    <row r="14" spans="1:13" x14ac:dyDescent="0.35">
      <c r="A14" t="s">
        <v>197</v>
      </c>
      <c r="B14">
        <v>623</v>
      </c>
      <c r="C14">
        <v>553</v>
      </c>
    </row>
  </sheetData>
  <hyperlinks>
    <hyperlink ref="M1" location="Index" display="Back to Index" xr:uid="{D298FC6F-B06E-47E2-8128-C2E5C95297B4}"/>
  </hyperlinks>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402BA-BA7B-499B-AED7-71C9B399F501}">
  <sheetPr codeName="Sheet75">
    <tabColor theme="9"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A6D44069-E51E-46A4-9B33-B3D803F894F2}"/>
  </hyperlinks>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A6AEB-8ACB-4D7A-A5EA-BD5D405ABDBA}">
  <sheetPr codeName="Sheet76"/>
  <dimension ref="A1:AD10"/>
  <sheetViews>
    <sheetView workbookViewId="0">
      <selection activeCell="M1" sqref="M1"/>
    </sheetView>
  </sheetViews>
  <sheetFormatPr defaultRowHeight="15.5" x14ac:dyDescent="0.35"/>
  <sheetData>
    <row r="1" spans="1:30" x14ac:dyDescent="0.35">
      <c r="A1" t="s">
        <v>0</v>
      </c>
      <c r="B1" t="s">
        <v>6</v>
      </c>
      <c r="C1" t="s">
        <v>198</v>
      </c>
      <c r="D1" t="s">
        <v>126</v>
      </c>
      <c r="E1" t="s">
        <v>127</v>
      </c>
      <c r="F1" t="s">
        <v>199</v>
      </c>
      <c r="G1" t="s">
        <v>200</v>
      </c>
      <c r="H1" t="s">
        <v>201</v>
      </c>
      <c r="I1" t="s">
        <v>202</v>
      </c>
      <c r="J1" t="s">
        <v>203</v>
      </c>
      <c r="K1" t="s">
        <v>204</v>
      </c>
      <c r="L1" t="s">
        <v>205</v>
      </c>
      <c r="M1" s="44" t="s">
        <v>253</v>
      </c>
      <c r="N1" t="s">
        <v>21</v>
      </c>
      <c r="O1" t="s">
        <v>128</v>
      </c>
      <c r="P1" t="s">
        <v>206</v>
      </c>
      <c r="Q1" t="s">
        <v>207</v>
      </c>
      <c r="R1" t="s">
        <v>208</v>
      </c>
      <c r="S1" t="s">
        <v>209</v>
      </c>
      <c r="T1" t="s">
        <v>210</v>
      </c>
      <c r="U1" t="s">
        <v>211</v>
      </c>
      <c r="V1" t="s">
        <v>212</v>
      </c>
      <c r="W1" t="s">
        <v>213</v>
      </c>
      <c r="X1" t="s">
        <v>214</v>
      </c>
      <c r="Y1" t="s">
        <v>215</v>
      </c>
      <c r="Z1" t="s">
        <v>216</v>
      </c>
      <c r="AA1" t="s">
        <v>217</v>
      </c>
      <c r="AB1" t="s">
        <v>218</v>
      </c>
      <c r="AC1" t="s">
        <v>219</v>
      </c>
      <c r="AD1" t="s">
        <v>220</v>
      </c>
    </row>
    <row r="2" spans="1:30" x14ac:dyDescent="0.35">
      <c r="A2">
        <v>2023</v>
      </c>
      <c r="B2">
        <v>7.32</v>
      </c>
      <c r="C2">
        <v>5.49</v>
      </c>
    </row>
    <row r="3" spans="1:30" x14ac:dyDescent="0.35">
      <c r="A3">
        <v>2022</v>
      </c>
      <c r="B3">
        <v>6.59</v>
      </c>
      <c r="C3">
        <v>5.26</v>
      </c>
    </row>
    <row r="4" spans="1:30" x14ac:dyDescent="0.35">
      <c r="A4">
        <v>2021</v>
      </c>
      <c r="B4">
        <v>6.47</v>
      </c>
      <c r="C4">
        <v>5.12</v>
      </c>
    </row>
    <row r="5" spans="1:30" x14ac:dyDescent="0.35">
      <c r="A5">
        <v>2020</v>
      </c>
      <c r="B5">
        <v>6.63</v>
      </c>
      <c r="C5">
        <v>5</v>
      </c>
    </row>
    <row r="6" spans="1:30" x14ac:dyDescent="0.35">
      <c r="A6">
        <v>2019</v>
      </c>
      <c r="B6">
        <v>6.29</v>
      </c>
      <c r="C6">
        <v>4.8099999999999996</v>
      </c>
    </row>
    <row r="7" spans="1:30" x14ac:dyDescent="0.35">
      <c r="A7">
        <v>2018</v>
      </c>
      <c r="B7">
        <v>6.2</v>
      </c>
      <c r="C7">
        <v>4.5999999999999996</v>
      </c>
    </row>
    <row r="8" spans="1:30" x14ac:dyDescent="0.35">
      <c r="A8">
        <v>2017</v>
      </c>
      <c r="B8">
        <v>5.9</v>
      </c>
      <c r="C8">
        <v>4.5199999999999996</v>
      </c>
    </row>
    <row r="9" spans="1:30" x14ac:dyDescent="0.35">
      <c r="A9">
        <v>2016</v>
      </c>
      <c r="B9">
        <v>6.14</v>
      </c>
      <c r="C9">
        <v>4.42</v>
      </c>
    </row>
    <row r="10" spans="1:30" x14ac:dyDescent="0.35">
      <c r="A10">
        <v>2015</v>
      </c>
      <c r="B10">
        <v>5.97</v>
      </c>
      <c r="C10">
        <v>4.3899999999999997</v>
      </c>
    </row>
  </sheetData>
  <hyperlinks>
    <hyperlink ref="M1" location="Index" display="Back to Index" xr:uid="{8FAAE484-1642-4663-A0DF-7A753C0CB3D7}"/>
  </hyperlinks>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A36BF-E768-447F-8C20-B0CFBA520E1C}">
  <sheetPr codeName="Sheet77">
    <tabColor theme="9"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A4DBA8E0-F14B-400A-8253-5D9B633EE9EC}"/>
  </hyperlink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E1A6A-E160-4E21-8A3E-1CDB09C0953F}">
  <sheetPr codeName="Sheet78"/>
  <dimension ref="A1:M1"/>
  <sheetViews>
    <sheetView workbookViewId="0">
      <selection activeCell="M1" sqref="M1"/>
    </sheetView>
  </sheetViews>
  <sheetFormatPr defaultRowHeight="15.5" x14ac:dyDescent="0.35"/>
  <sheetData>
    <row r="1" spans="1:13" x14ac:dyDescent="0.35">
      <c r="A1" s="45" t="s">
        <v>24</v>
      </c>
      <c r="B1" s="45"/>
      <c r="C1" s="45"/>
      <c r="D1" s="45"/>
      <c r="E1" s="45"/>
      <c r="F1" s="45"/>
      <c r="G1" s="45"/>
      <c r="M1" s="44" t="s">
        <v>253</v>
      </c>
    </row>
  </sheetData>
  <mergeCells count="1">
    <mergeCell ref="A1:G1"/>
  </mergeCells>
  <hyperlinks>
    <hyperlink ref="M1" location="Index" display="Back to Index" xr:uid="{8BC09749-86E1-483F-B951-94626B67EAE5}"/>
  </hyperlink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3D783-837D-4838-8BE3-8D5BBAB8CA16}">
  <sheetPr codeName="Sheet79">
    <tabColor theme="9"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5C2643D0-5FAA-4DD9-8771-80F7C5360243}"/>
  </hyperlink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8C92A-30B1-4EAB-9696-3B7F1731623D}">
  <sheetPr codeName="Sheet80"/>
  <dimension ref="A1:M15"/>
  <sheetViews>
    <sheetView workbookViewId="0">
      <selection activeCell="M1" sqref="M1"/>
    </sheetView>
  </sheetViews>
  <sheetFormatPr defaultRowHeight="15.5" x14ac:dyDescent="0.35"/>
  <sheetData>
    <row r="1" spans="1:13" x14ac:dyDescent="0.35">
      <c r="A1" t="s">
        <v>0</v>
      </c>
      <c r="B1" t="s">
        <v>6</v>
      </c>
      <c r="C1" t="s">
        <v>105</v>
      </c>
      <c r="D1" t="s">
        <v>21</v>
      </c>
      <c r="M1" s="44" t="s">
        <v>253</v>
      </c>
    </row>
    <row r="2" spans="1:13" x14ac:dyDescent="0.35">
      <c r="A2">
        <v>2010</v>
      </c>
      <c r="B2">
        <v>25.7</v>
      </c>
      <c r="C2">
        <v>22.1</v>
      </c>
    </row>
    <row r="3" spans="1:13" x14ac:dyDescent="0.35">
      <c r="A3">
        <v>2011</v>
      </c>
      <c r="B3">
        <v>23.4</v>
      </c>
      <c r="C3">
        <v>21.6</v>
      </c>
    </row>
    <row r="4" spans="1:13" x14ac:dyDescent="0.35">
      <c r="A4">
        <v>2012</v>
      </c>
      <c r="B4">
        <v>22</v>
      </c>
      <c r="C4">
        <v>19.8</v>
      </c>
    </row>
    <row r="5" spans="1:13" x14ac:dyDescent="0.35">
      <c r="A5">
        <v>2013</v>
      </c>
      <c r="B5">
        <v>22.5</v>
      </c>
      <c r="C5">
        <v>18.5</v>
      </c>
    </row>
    <row r="6" spans="1:13" x14ac:dyDescent="0.35">
      <c r="A6">
        <v>2014</v>
      </c>
      <c r="B6">
        <v>20.8</v>
      </c>
      <c r="C6">
        <v>17.3</v>
      </c>
    </row>
    <row r="7" spans="1:13" x14ac:dyDescent="0.35">
      <c r="A7">
        <v>2015</v>
      </c>
      <c r="B7">
        <v>17.7</v>
      </c>
      <c r="C7">
        <v>16.7</v>
      </c>
    </row>
    <row r="8" spans="1:13" x14ac:dyDescent="0.35">
      <c r="A8">
        <v>2016</v>
      </c>
      <c r="B8">
        <v>18.399999999999999</v>
      </c>
      <c r="C8">
        <v>16.2</v>
      </c>
    </row>
    <row r="9" spans="1:13" x14ac:dyDescent="0.35">
      <c r="A9">
        <v>2017</v>
      </c>
      <c r="B9">
        <v>20.100000000000001</v>
      </c>
      <c r="C9">
        <v>16.100000000000001</v>
      </c>
    </row>
    <row r="10" spans="1:13" x14ac:dyDescent="0.35">
      <c r="A10">
        <v>2018</v>
      </c>
      <c r="B10">
        <v>18.7</v>
      </c>
      <c r="C10">
        <v>15</v>
      </c>
    </row>
    <row r="11" spans="1:13" x14ac:dyDescent="0.35">
      <c r="A11">
        <v>2019</v>
      </c>
      <c r="B11">
        <v>15.2</v>
      </c>
      <c r="C11">
        <v>13.4</v>
      </c>
    </row>
    <row r="12" spans="1:13" x14ac:dyDescent="0.35">
      <c r="A12">
        <v>2020</v>
      </c>
      <c r="B12">
        <v>11.5</v>
      </c>
      <c r="C12">
        <v>13.2</v>
      </c>
    </row>
    <row r="13" spans="1:13" x14ac:dyDescent="0.35">
      <c r="A13">
        <v>2021</v>
      </c>
      <c r="B13">
        <v>11.9</v>
      </c>
      <c r="C13">
        <v>13.1</v>
      </c>
    </row>
    <row r="14" spans="1:13" x14ac:dyDescent="0.35">
      <c r="A14">
        <v>2022</v>
      </c>
      <c r="B14">
        <v>10.4</v>
      </c>
      <c r="C14">
        <v>13.1</v>
      </c>
    </row>
    <row r="15" spans="1:13" x14ac:dyDescent="0.35">
      <c r="A15">
        <v>2023</v>
      </c>
      <c r="B15">
        <v>10.199999999999999</v>
      </c>
      <c r="C15">
        <v>13</v>
      </c>
    </row>
  </sheetData>
  <hyperlinks>
    <hyperlink ref="M1" location="Index" display="Back to Index" xr:uid="{ECB0C479-0977-4F3B-B649-8E627FE8E4D7}"/>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3BF20-0A7A-46DC-AF40-A7CCDBC813C1}">
  <sheetPr codeName="Sheet81">
    <tabColor theme="9" tint="0.39997558519241921"/>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3D3F4C5D-653A-4D3A-8F5B-285B4B55F3BE}"/>
  </hyperlink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0612B-A1F6-4DB8-907F-D18F2855CEC4}">
  <sheetPr codeName="Sheet82">
    <tabColor theme="9"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8480956B-8161-40F1-AD1B-8955023BD7D1}"/>
  </hyperlink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297DD-3B0C-4189-83EE-34402ECFCA1C}">
  <sheetPr codeName="Sheet83">
    <tabColor theme="0"/>
  </sheetPr>
  <dimension ref="A1:M1"/>
  <sheetViews>
    <sheetView workbookViewId="0">
      <selection activeCell="M1" sqref="M1"/>
    </sheetView>
  </sheetViews>
  <sheetFormatPr defaultRowHeight="15.5" x14ac:dyDescent="0.35"/>
  <sheetData>
    <row r="1" spans="1:13" x14ac:dyDescent="0.35">
      <c r="A1" s="45" t="s">
        <v>24</v>
      </c>
      <c r="B1" s="45"/>
      <c r="C1" s="45"/>
      <c r="D1" s="45"/>
      <c r="E1" s="45"/>
      <c r="F1" s="45"/>
      <c r="G1" s="45"/>
      <c r="M1" s="44" t="s">
        <v>253</v>
      </c>
    </row>
  </sheetData>
  <mergeCells count="1">
    <mergeCell ref="A1:G1"/>
  </mergeCells>
  <hyperlinks>
    <hyperlink ref="M1" location="Index" display="Back to Index" xr:uid="{EED40398-39D3-4FEE-B690-786F76F9FDFD}"/>
  </hyperlinks>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6E19A-68E4-4104-BEAA-DF024AA49A85}">
  <sheetPr codeName="Sheet84">
    <tabColor theme="0"/>
  </sheetPr>
  <dimension ref="A1:M1"/>
  <sheetViews>
    <sheetView workbookViewId="0">
      <selection activeCell="M1" sqref="M1"/>
    </sheetView>
  </sheetViews>
  <sheetFormatPr defaultRowHeight="15.5" x14ac:dyDescent="0.35"/>
  <sheetData>
    <row r="1" spans="1:13" x14ac:dyDescent="0.35">
      <c r="A1" s="45" t="s">
        <v>24</v>
      </c>
      <c r="B1" s="45"/>
      <c r="C1" s="45"/>
      <c r="D1" s="45"/>
      <c r="E1" s="45"/>
      <c r="F1" s="45"/>
      <c r="G1" s="45"/>
      <c r="M1" s="44" t="s">
        <v>253</v>
      </c>
    </row>
  </sheetData>
  <mergeCells count="1">
    <mergeCell ref="A1:G1"/>
  </mergeCells>
  <hyperlinks>
    <hyperlink ref="M1" location="Index" display="Back to Index" xr:uid="{31A2AAC5-9D7C-45B4-9416-F7C5747B2E90}"/>
  </hyperlinks>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0DFAB-10EC-46A6-BF8E-27096038F300}">
  <sheetPr codeName="Sheet85">
    <tabColor theme="9"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1D64D4AD-8AAB-4837-B82E-CC48B16F2FBD}"/>
  </hyperlinks>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0F0A1D-56B3-4B13-98D9-8C31D93793F8}">
  <sheetPr codeName="Sheet86">
    <tabColor theme="0"/>
  </sheetPr>
  <dimension ref="A1:M5"/>
  <sheetViews>
    <sheetView workbookViewId="0">
      <selection activeCell="M1" sqref="M1"/>
    </sheetView>
  </sheetViews>
  <sheetFormatPr defaultRowHeight="15.5" x14ac:dyDescent="0.35"/>
  <sheetData>
    <row r="1" spans="1:13" x14ac:dyDescent="0.35">
      <c r="A1" t="s">
        <v>221</v>
      </c>
      <c r="B1" t="s">
        <v>6</v>
      </c>
      <c r="C1" t="s">
        <v>7</v>
      </c>
      <c r="M1" s="44" t="s">
        <v>253</v>
      </c>
    </row>
    <row r="2" spans="1:13" x14ac:dyDescent="0.35">
      <c r="A2" t="s">
        <v>222</v>
      </c>
      <c r="B2">
        <v>14</v>
      </c>
      <c r="C2">
        <v>12</v>
      </c>
    </row>
    <row r="3" spans="1:13" x14ac:dyDescent="0.35">
      <c r="A3" t="s">
        <v>223</v>
      </c>
      <c r="B3">
        <v>21</v>
      </c>
      <c r="C3">
        <v>17</v>
      </c>
    </row>
    <row r="4" spans="1:13" x14ac:dyDescent="0.35">
      <c r="A4" t="s">
        <v>224</v>
      </c>
      <c r="B4">
        <v>13</v>
      </c>
      <c r="C4">
        <v>11</v>
      </c>
    </row>
    <row r="5" spans="1:13" x14ac:dyDescent="0.35">
      <c r="A5" t="s">
        <v>225</v>
      </c>
      <c r="B5">
        <v>9</v>
      </c>
      <c r="C5">
        <v>10</v>
      </c>
    </row>
  </sheetData>
  <hyperlinks>
    <hyperlink ref="M1" location="Index" display="Back to Index" xr:uid="{DA3EF005-8551-40E3-897C-F5F8EB63A1E0}"/>
  </hyperlinks>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E682B-2301-406A-8411-0C327A91DA00}">
  <sheetPr codeName="Sheet87">
    <tabColor theme="9"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FC10146B-BFF2-448E-B644-02FAD25EE82F}"/>
  </hyperlink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9CB6A-EC15-4042-9D50-29D94FC67C3A}">
  <sheetPr codeName="Sheet88">
    <tabColor theme="0"/>
  </sheetPr>
  <dimension ref="A1:M1"/>
  <sheetViews>
    <sheetView workbookViewId="0">
      <selection activeCell="M1" sqref="M1"/>
    </sheetView>
  </sheetViews>
  <sheetFormatPr defaultRowHeight="15.5" x14ac:dyDescent="0.35"/>
  <sheetData>
    <row r="1" spans="1:13" x14ac:dyDescent="0.35">
      <c r="A1" s="45" t="s">
        <v>24</v>
      </c>
      <c r="B1" s="45"/>
      <c r="C1" s="45"/>
      <c r="D1" s="45"/>
      <c r="E1" s="45"/>
      <c r="F1" s="45"/>
      <c r="G1" s="45"/>
      <c r="M1" s="44" t="s">
        <v>253</v>
      </c>
    </row>
  </sheetData>
  <mergeCells count="1">
    <mergeCell ref="A1:G1"/>
  </mergeCells>
  <hyperlinks>
    <hyperlink ref="M1" location="Index" display="Back to Index" xr:uid="{506D58D5-857A-4B67-8F38-5AB50462EA4E}"/>
  </hyperlink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5AB17-593F-4039-A5A8-820843FA7419}">
  <sheetPr codeName="Sheet89">
    <tabColor theme="0"/>
  </sheetPr>
  <dimension ref="A1:M1"/>
  <sheetViews>
    <sheetView workbookViewId="0">
      <selection activeCell="M1" sqref="M1"/>
    </sheetView>
  </sheetViews>
  <sheetFormatPr defaultRowHeight="15.5" x14ac:dyDescent="0.35"/>
  <sheetData>
    <row r="1" spans="1:13" x14ac:dyDescent="0.35">
      <c r="A1" s="45" t="s">
        <v>24</v>
      </c>
      <c r="B1" s="45"/>
      <c r="C1" s="45"/>
      <c r="D1" s="45"/>
      <c r="E1" s="45"/>
      <c r="F1" s="45"/>
      <c r="G1" s="45"/>
      <c r="M1" s="44" t="s">
        <v>253</v>
      </c>
    </row>
  </sheetData>
  <mergeCells count="1">
    <mergeCell ref="A1:G1"/>
  </mergeCells>
  <hyperlinks>
    <hyperlink ref="M1" location="Index" display="Back to Index" xr:uid="{6D9018C2-0BDB-4E87-B296-56898BA419F9}"/>
  </hyperlink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B7643-0A58-4305-85E0-CDF850706969}">
  <sheetPr codeName="Sheet90">
    <tabColor theme="9"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EC2437B6-DDC9-41FE-8C04-0AA819D56CDD}"/>
  </hyperlink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F6F93-89C0-48BA-9380-0A0B0EAE8D2D}">
  <sheetPr codeName="Sheet91">
    <tabColor theme="0"/>
  </sheetPr>
  <dimension ref="A1:M1"/>
  <sheetViews>
    <sheetView workbookViewId="0">
      <selection activeCell="M1" sqref="M1"/>
    </sheetView>
  </sheetViews>
  <sheetFormatPr defaultRowHeight="15.5" x14ac:dyDescent="0.35"/>
  <sheetData>
    <row r="1" spans="1:13" x14ac:dyDescent="0.35">
      <c r="A1" s="45" t="s">
        <v>24</v>
      </c>
      <c r="B1" s="45"/>
      <c r="C1" s="45"/>
      <c r="D1" s="45"/>
      <c r="E1" s="45"/>
      <c r="F1" s="45"/>
      <c r="G1" s="45"/>
      <c r="M1" s="44" t="s">
        <v>253</v>
      </c>
    </row>
  </sheetData>
  <mergeCells count="1">
    <mergeCell ref="A1:G1"/>
  </mergeCells>
  <hyperlinks>
    <hyperlink ref="M1" location="Index" display="Back to Index" xr:uid="{179B6CA6-268C-4F1B-81E1-00C3F14317A6}"/>
  </hyperlinks>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158D71-DAF4-4088-AD14-BCB3C94EE3C7}">
  <sheetPr codeName="Sheet92">
    <tabColor theme="0"/>
  </sheetPr>
  <dimension ref="A1:M1"/>
  <sheetViews>
    <sheetView workbookViewId="0">
      <selection activeCell="M1" sqref="M1"/>
    </sheetView>
  </sheetViews>
  <sheetFormatPr defaultRowHeight="15.5" x14ac:dyDescent="0.35"/>
  <sheetData>
    <row r="1" spans="1:13" x14ac:dyDescent="0.35">
      <c r="A1" s="45" t="s">
        <v>24</v>
      </c>
      <c r="B1" s="45"/>
      <c r="C1" s="45"/>
      <c r="D1" s="45"/>
      <c r="E1" s="45"/>
      <c r="F1" s="45"/>
      <c r="G1" s="45"/>
      <c r="M1" s="44" t="s">
        <v>253</v>
      </c>
    </row>
  </sheetData>
  <mergeCells count="1">
    <mergeCell ref="A1:G1"/>
  </mergeCells>
  <hyperlinks>
    <hyperlink ref="M1" location="Index" display="Back to Index" xr:uid="{78AD58DB-C98A-4CC0-91C2-24B8000324C4}"/>
  </hyperlinks>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D6F70-425D-411E-A0BE-6EC3EF29373A}">
  <sheetPr codeName="Sheet93">
    <tabColor theme="0"/>
  </sheetPr>
  <dimension ref="A1:M1"/>
  <sheetViews>
    <sheetView workbookViewId="0">
      <selection activeCell="M1" sqref="M1"/>
    </sheetView>
  </sheetViews>
  <sheetFormatPr defaultRowHeight="15.5" x14ac:dyDescent="0.35"/>
  <sheetData>
    <row r="1" spans="1:13" x14ac:dyDescent="0.35">
      <c r="A1" s="45" t="s">
        <v>24</v>
      </c>
      <c r="B1" s="45"/>
      <c r="C1" s="45"/>
      <c r="D1" s="45"/>
      <c r="E1" s="45"/>
      <c r="F1" s="45"/>
      <c r="G1" s="45"/>
      <c r="M1" s="44" t="s">
        <v>253</v>
      </c>
    </row>
  </sheetData>
  <mergeCells count="1">
    <mergeCell ref="A1:G1"/>
  </mergeCells>
  <hyperlinks>
    <hyperlink ref="M1" location="Index" display="Back to Index" xr:uid="{755BD5BF-1A73-4B91-A5EC-64F5F2C0ABA5}"/>
  </hyperlinks>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DFA74-14E6-49CF-ADB3-C3BC763A76E0}">
  <sheetPr codeName="Sheet94">
    <tabColor theme="9"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57DF5C45-5331-49C9-8342-12A606E26515}"/>
  </hyperlinks>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02C536-BBBE-4073-A792-BD24932E9F7B}">
  <sheetPr codeName="Sheet95">
    <tabColor theme="0"/>
  </sheetPr>
  <dimension ref="A1:M24"/>
  <sheetViews>
    <sheetView workbookViewId="0">
      <selection activeCell="M1" sqref="M1"/>
    </sheetView>
  </sheetViews>
  <sheetFormatPr defaultRowHeight="15.5" x14ac:dyDescent="0.35"/>
  <sheetData>
    <row r="1" spans="1:13" x14ac:dyDescent="0.35">
      <c r="A1" t="s">
        <v>0</v>
      </c>
      <c r="B1" t="s">
        <v>226</v>
      </c>
      <c r="M1" s="44" t="s">
        <v>253</v>
      </c>
    </row>
    <row r="2" spans="1:13" x14ac:dyDescent="0.35">
      <c r="A2" s="7">
        <v>45448</v>
      </c>
      <c r="B2">
        <v>2807</v>
      </c>
      <c r="C2" s="8"/>
      <c r="D2" s="8"/>
      <c r="E2" s="8"/>
    </row>
    <row r="3" spans="1:13" x14ac:dyDescent="0.35">
      <c r="A3" s="7">
        <v>45479</v>
      </c>
      <c r="B3">
        <v>2997</v>
      </c>
      <c r="C3" s="8"/>
      <c r="D3" s="8"/>
      <c r="E3" s="8"/>
    </row>
    <row r="4" spans="1:13" x14ac:dyDescent="0.35">
      <c r="A4" s="7">
        <v>45511</v>
      </c>
      <c r="B4">
        <v>3017</v>
      </c>
      <c r="C4" s="8"/>
      <c r="D4" s="8"/>
      <c r="E4" s="8"/>
    </row>
    <row r="5" spans="1:13" x14ac:dyDescent="0.35">
      <c r="A5" s="7">
        <v>45543</v>
      </c>
      <c r="B5">
        <v>3472</v>
      </c>
      <c r="C5" s="8"/>
      <c r="D5" s="8"/>
      <c r="E5" s="8"/>
    </row>
    <row r="6" spans="1:13" x14ac:dyDescent="0.35">
      <c r="A6" s="7">
        <v>45574</v>
      </c>
      <c r="B6">
        <v>3673</v>
      </c>
      <c r="C6" s="8"/>
      <c r="D6" s="8"/>
      <c r="E6" s="8"/>
    </row>
    <row r="7" spans="1:13" x14ac:dyDescent="0.35">
      <c r="A7" s="7">
        <v>45606</v>
      </c>
      <c r="B7">
        <v>3975</v>
      </c>
      <c r="C7" s="8"/>
      <c r="D7" s="8"/>
      <c r="E7" s="8"/>
    </row>
    <row r="8" spans="1:13" x14ac:dyDescent="0.35">
      <c r="A8" s="7">
        <v>45637</v>
      </c>
      <c r="B8">
        <v>5678</v>
      </c>
      <c r="C8" s="8"/>
      <c r="D8" s="8"/>
      <c r="E8" s="8"/>
    </row>
    <row r="9" spans="1:13" x14ac:dyDescent="0.35">
      <c r="A9" s="3">
        <v>41609</v>
      </c>
      <c r="B9">
        <v>6437</v>
      </c>
      <c r="C9" s="8"/>
      <c r="D9" s="8"/>
      <c r="E9" s="8"/>
    </row>
    <row r="10" spans="1:13" x14ac:dyDescent="0.35">
      <c r="A10" t="s">
        <v>227</v>
      </c>
      <c r="B10">
        <v>6508</v>
      </c>
      <c r="C10" s="8"/>
      <c r="D10" s="8"/>
      <c r="E10" s="8"/>
    </row>
    <row r="11" spans="1:13" x14ac:dyDescent="0.35">
      <c r="A11" t="s">
        <v>228</v>
      </c>
      <c r="B11">
        <v>7581</v>
      </c>
      <c r="C11" s="8"/>
      <c r="D11" s="8"/>
      <c r="E11" s="8"/>
    </row>
    <row r="12" spans="1:13" x14ac:dyDescent="0.35">
      <c r="A12" t="s">
        <v>229</v>
      </c>
      <c r="B12">
        <v>8096</v>
      </c>
      <c r="C12" s="8"/>
      <c r="D12" s="8"/>
      <c r="E12" s="8"/>
    </row>
    <row r="13" spans="1:13" x14ac:dyDescent="0.35">
      <c r="A13" t="s">
        <v>230</v>
      </c>
      <c r="B13">
        <v>8108</v>
      </c>
      <c r="C13" s="8"/>
      <c r="D13" s="8"/>
      <c r="E13" s="8"/>
    </row>
    <row r="14" spans="1:13" x14ac:dyDescent="0.35">
      <c r="A14" t="s">
        <v>231</v>
      </c>
      <c r="B14">
        <v>7484</v>
      </c>
      <c r="C14" s="8"/>
      <c r="D14" s="8"/>
      <c r="E14" s="8"/>
    </row>
    <row r="15" spans="1:13" x14ac:dyDescent="0.35">
      <c r="A15" t="s">
        <v>232</v>
      </c>
      <c r="B15">
        <v>8855</v>
      </c>
      <c r="C15" s="8"/>
      <c r="D15" s="8"/>
      <c r="E15" s="8"/>
    </row>
    <row r="16" spans="1:13" x14ac:dyDescent="0.35">
      <c r="A16" t="s">
        <v>233</v>
      </c>
      <c r="B16">
        <v>10726</v>
      </c>
      <c r="C16" s="8"/>
      <c r="D16" s="8"/>
      <c r="E16" s="8"/>
    </row>
    <row r="17" spans="1:5" x14ac:dyDescent="0.35">
      <c r="A17" t="s">
        <v>234</v>
      </c>
      <c r="B17">
        <v>11018</v>
      </c>
      <c r="C17" s="8"/>
      <c r="D17" s="8"/>
      <c r="E17" s="8"/>
    </row>
    <row r="18" spans="1:5" x14ac:dyDescent="0.35">
      <c r="A18" t="s">
        <v>235</v>
      </c>
      <c r="B18">
        <v>8329</v>
      </c>
      <c r="C18" s="8"/>
      <c r="D18" s="8"/>
      <c r="E18" s="8"/>
    </row>
    <row r="19" spans="1:5" x14ac:dyDescent="0.35">
      <c r="A19" t="s">
        <v>236</v>
      </c>
      <c r="B19">
        <v>10053</v>
      </c>
      <c r="C19" s="8"/>
      <c r="D19" s="8"/>
      <c r="E19" s="8"/>
    </row>
    <row r="20" spans="1:5" x14ac:dyDescent="0.35">
      <c r="A20" t="s">
        <v>237</v>
      </c>
      <c r="B20">
        <v>11993</v>
      </c>
      <c r="C20" s="8"/>
      <c r="D20" s="8"/>
      <c r="E20" s="8"/>
    </row>
    <row r="21" spans="1:5" x14ac:dyDescent="0.35">
      <c r="A21" s="3"/>
      <c r="B21" s="8"/>
      <c r="C21" s="8"/>
      <c r="D21" s="8"/>
      <c r="E21" s="8"/>
    </row>
    <row r="22" spans="1:5" x14ac:dyDescent="0.35">
      <c r="A22" s="3"/>
      <c r="B22" s="8"/>
      <c r="C22" s="8"/>
      <c r="D22" s="8"/>
      <c r="E22" s="8"/>
    </row>
    <row r="23" spans="1:5" x14ac:dyDescent="0.35">
      <c r="A23" s="3"/>
      <c r="B23" s="8"/>
      <c r="C23" s="8"/>
      <c r="D23" s="8"/>
      <c r="E23" s="8"/>
    </row>
    <row r="24" spans="1:5" x14ac:dyDescent="0.35">
      <c r="A24" s="3"/>
      <c r="B24" s="8"/>
      <c r="C24" s="8"/>
      <c r="D24" s="8"/>
      <c r="E24" s="8"/>
    </row>
  </sheetData>
  <hyperlinks>
    <hyperlink ref="M1" location="Index" display="Back to Index" xr:uid="{5F513858-0C0C-4263-9FD2-95E36A35FCCA}"/>
  </hyperlink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AE8B1-FC47-4F97-967B-2B73A6B063AE}">
  <sheetPr codeName="Sheet96">
    <tabColor theme="0"/>
  </sheetPr>
  <dimension ref="A1:M24"/>
  <sheetViews>
    <sheetView workbookViewId="0">
      <selection activeCell="M1" sqref="M1"/>
    </sheetView>
  </sheetViews>
  <sheetFormatPr defaultRowHeight="15.5" x14ac:dyDescent="0.35"/>
  <sheetData>
    <row r="1" spans="1:13" x14ac:dyDescent="0.35">
      <c r="A1" t="s">
        <v>238</v>
      </c>
      <c r="B1" t="s">
        <v>239</v>
      </c>
      <c r="C1" t="s">
        <v>240</v>
      </c>
      <c r="D1" t="s">
        <v>241</v>
      </c>
      <c r="E1" t="s">
        <v>242</v>
      </c>
      <c r="M1" s="44" t="s">
        <v>253</v>
      </c>
    </row>
    <row r="2" spans="1:13" x14ac:dyDescent="0.35">
      <c r="A2" s="3">
        <v>43252</v>
      </c>
      <c r="B2" s="8">
        <v>43990</v>
      </c>
      <c r="C2" s="8">
        <v>12340</v>
      </c>
      <c r="D2" s="8">
        <v>17580</v>
      </c>
      <c r="E2" s="8">
        <v>8480</v>
      </c>
    </row>
    <row r="3" spans="1:13" x14ac:dyDescent="0.35">
      <c r="A3" s="3">
        <v>43344</v>
      </c>
      <c r="B3" s="8">
        <v>43840</v>
      </c>
      <c r="C3" s="8">
        <v>12350</v>
      </c>
      <c r="D3" s="8">
        <v>17900</v>
      </c>
      <c r="E3" s="8">
        <v>9330</v>
      </c>
    </row>
    <row r="4" spans="1:13" x14ac:dyDescent="0.35">
      <c r="A4" s="3">
        <v>43435</v>
      </c>
      <c r="B4" s="8">
        <v>43970</v>
      </c>
      <c r="C4" s="8">
        <v>12570</v>
      </c>
      <c r="D4" s="8">
        <v>17650</v>
      </c>
      <c r="E4" s="8">
        <v>9350</v>
      </c>
    </row>
    <row r="5" spans="1:13" x14ac:dyDescent="0.35">
      <c r="A5" s="3">
        <v>43525</v>
      </c>
      <c r="B5" s="8">
        <v>43930</v>
      </c>
      <c r="C5" s="8">
        <v>12850</v>
      </c>
      <c r="D5" s="8">
        <v>18240</v>
      </c>
      <c r="E5" s="8">
        <v>10020</v>
      </c>
    </row>
    <row r="6" spans="1:13" x14ac:dyDescent="0.35">
      <c r="A6" s="3">
        <v>43617</v>
      </c>
      <c r="B6" s="8">
        <v>43220</v>
      </c>
      <c r="C6" s="8">
        <v>13850</v>
      </c>
      <c r="D6" s="8">
        <v>18630</v>
      </c>
      <c r="E6" s="8">
        <v>10540</v>
      </c>
    </row>
    <row r="7" spans="1:13" x14ac:dyDescent="0.35">
      <c r="A7" s="3">
        <v>43709</v>
      </c>
      <c r="B7" s="8">
        <v>43920</v>
      </c>
      <c r="C7" s="8">
        <v>14310</v>
      </c>
      <c r="D7" s="8">
        <v>18350</v>
      </c>
      <c r="E7" s="8">
        <v>10810</v>
      </c>
    </row>
    <row r="8" spans="1:13" x14ac:dyDescent="0.35">
      <c r="A8" s="3">
        <v>43800</v>
      </c>
      <c r="B8" s="8">
        <v>43910</v>
      </c>
      <c r="C8" s="8">
        <v>14760</v>
      </c>
      <c r="D8" s="8">
        <v>18650</v>
      </c>
      <c r="E8" s="8">
        <v>10990</v>
      </c>
    </row>
    <row r="9" spans="1:13" x14ac:dyDescent="0.35">
      <c r="A9" s="3">
        <v>43891</v>
      </c>
      <c r="B9" s="8">
        <v>44780</v>
      </c>
      <c r="C9" s="8">
        <v>15940</v>
      </c>
      <c r="D9" s="8">
        <v>18830</v>
      </c>
      <c r="E9" s="8">
        <v>13450</v>
      </c>
    </row>
    <row r="10" spans="1:13" x14ac:dyDescent="0.35">
      <c r="A10" s="3">
        <v>43983</v>
      </c>
      <c r="B10" s="8">
        <v>44180</v>
      </c>
      <c r="C10" s="8">
        <v>18470</v>
      </c>
      <c r="D10" s="8">
        <v>18500</v>
      </c>
      <c r="E10" s="8">
        <v>17110</v>
      </c>
    </row>
    <row r="11" spans="1:13" x14ac:dyDescent="0.35">
      <c r="A11" s="3">
        <v>44075</v>
      </c>
      <c r="B11" s="8">
        <v>42290</v>
      </c>
      <c r="C11" s="8">
        <v>18240</v>
      </c>
      <c r="D11" s="8">
        <v>17950</v>
      </c>
      <c r="E11" s="8">
        <v>16130</v>
      </c>
    </row>
    <row r="12" spans="1:13" x14ac:dyDescent="0.35">
      <c r="A12" s="3">
        <v>44166</v>
      </c>
      <c r="B12" s="8">
        <v>41680</v>
      </c>
      <c r="C12" s="8">
        <v>18780</v>
      </c>
      <c r="D12" s="8">
        <v>17780</v>
      </c>
      <c r="E12" s="8">
        <v>16880</v>
      </c>
    </row>
    <row r="13" spans="1:13" x14ac:dyDescent="0.35">
      <c r="A13" s="3">
        <v>44256</v>
      </c>
      <c r="B13" s="8">
        <v>41510</v>
      </c>
      <c r="C13" s="8">
        <v>18500</v>
      </c>
      <c r="D13" s="8">
        <v>17620</v>
      </c>
      <c r="E13" s="8">
        <v>17820</v>
      </c>
    </row>
    <row r="14" spans="1:13" x14ac:dyDescent="0.35">
      <c r="A14" s="3">
        <v>44348</v>
      </c>
      <c r="B14" s="8">
        <v>41810</v>
      </c>
      <c r="C14" s="8">
        <v>18330</v>
      </c>
      <c r="D14" s="8">
        <v>18180</v>
      </c>
      <c r="E14" s="8">
        <v>17530</v>
      </c>
    </row>
    <row r="15" spans="1:13" x14ac:dyDescent="0.35">
      <c r="A15" s="3">
        <v>44440</v>
      </c>
      <c r="B15" s="8">
        <v>38750</v>
      </c>
      <c r="C15" s="8">
        <v>19970</v>
      </c>
      <c r="D15" s="8">
        <v>19560</v>
      </c>
      <c r="E15" s="8">
        <v>17270</v>
      </c>
    </row>
    <row r="16" spans="1:13" x14ac:dyDescent="0.35">
      <c r="A16" s="3">
        <v>44531</v>
      </c>
      <c r="B16" s="8">
        <v>38780</v>
      </c>
      <c r="C16" s="8">
        <v>20320</v>
      </c>
      <c r="D16" s="8">
        <v>19760</v>
      </c>
      <c r="E16" s="8">
        <v>17420</v>
      </c>
    </row>
    <row r="17" spans="1:5" x14ac:dyDescent="0.35">
      <c r="A17" s="3">
        <v>44621</v>
      </c>
      <c r="B17" s="8">
        <v>38150</v>
      </c>
      <c r="C17" s="8">
        <v>18280</v>
      </c>
      <c r="D17" s="8">
        <v>20730</v>
      </c>
      <c r="E17" s="8">
        <v>17850</v>
      </c>
    </row>
    <row r="18" spans="1:5" x14ac:dyDescent="0.35">
      <c r="A18" s="3">
        <v>44713</v>
      </c>
      <c r="B18" s="8">
        <v>37780</v>
      </c>
      <c r="C18" s="8">
        <v>18560</v>
      </c>
      <c r="D18" s="8">
        <v>22030</v>
      </c>
      <c r="E18" s="8">
        <v>17320</v>
      </c>
    </row>
    <row r="19" spans="1:5" x14ac:dyDescent="0.35">
      <c r="A19" s="3">
        <v>44805</v>
      </c>
      <c r="B19" s="8">
        <v>38230</v>
      </c>
      <c r="C19" s="8">
        <v>19310</v>
      </c>
      <c r="D19" s="8">
        <v>23530</v>
      </c>
      <c r="E19" s="8">
        <v>17770</v>
      </c>
    </row>
    <row r="20" spans="1:5" x14ac:dyDescent="0.35">
      <c r="A20" s="3">
        <v>44896</v>
      </c>
      <c r="B20" s="8">
        <v>38110</v>
      </c>
      <c r="C20" s="8">
        <v>19380</v>
      </c>
      <c r="D20" s="8">
        <v>23870</v>
      </c>
      <c r="E20" s="8">
        <v>19140</v>
      </c>
    </row>
    <row r="21" spans="1:5" x14ac:dyDescent="0.35">
      <c r="A21" s="3">
        <v>44986</v>
      </c>
      <c r="B21" s="8">
        <v>39660</v>
      </c>
      <c r="C21" s="8">
        <v>20440</v>
      </c>
      <c r="D21" s="8">
        <v>25330</v>
      </c>
      <c r="E21" s="8">
        <v>19120</v>
      </c>
    </row>
    <row r="22" spans="1:5" x14ac:dyDescent="0.35">
      <c r="A22" s="3">
        <v>45078</v>
      </c>
      <c r="B22" s="8">
        <v>41780</v>
      </c>
      <c r="C22" s="8">
        <v>18950</v>
      </c>
      <c r="D22" s="8">
        <v>26370</v>
      </c>
      <c r="E22" s="8">
        <v>18740</v>
      </c>
    </row>
    <row r="23" spans="1:5" x14ac:dyDescent="0.35">
      <c r="A23" s="3">
        <v>45170</v>
      </c>
      <c r="B23" s="8">
        <v>42010</v>
      </c>
      <c r="C23" s="8">
        <v>19750</v>
      </c>
      <c r="D23" s="8">
        <v>27630</v>
      </c>
      <c r="E23" s="8">
        <v>19530</v>
      </c>
    </row>
    <row r="24" spans="1:5" x14ac:dyDescent="0.35">
      <c r="A24" s="3">
        <v>45261</v>
      </c>
      <c r="B24" s="8">
        <v>42870</v>
      </c>
      <c r="C24" s="8">
        <v>20370</v>
      </c>
      <c r="D24" s="8">
        <v>28410</v>
      </c>
      <c r="E24" s="8">
        <v>21010</v>
      </c>
    </row>
  </sheetData>
  <hyperlinks>
    <hyperlink ref="M1" location="Index" display="Back to Index" xr:uid="{9484003B-203C-42F7-A7F1-88926C2066FD}"/>
  </hyperlink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20EB8-4796-4A76-A492-62EE02DA2CD0}">
  <sheetPr codeName="Sheet97">
    <tabColor theme="0"/>
  </sheetPr>
  <dimension ref="A1:O24"/>
  <sheetViews>
    <sheetView workbookViewId="0">
      <selection activeCell="M1" sqref="M1"/>
    </sheetView>
  </sheetViews>
  <sheetFormatPr defaultRowHeight="15.5" x14ac:dyDescent="0.35"/>
  <sheetData>
    <row r="1" spans="1:15" x14ac:dyDescent="0.35">
      <c r="A1" t="s">
        <v>0</v>
      </c>
      <c r="B1" s="7">
        <v>45416</v>
      </c>
      <c r="C1" s="7">
        <v>45448</v>
      </c>
      <c r="D1" s="7">
        <v>45479</v>
      </c>
      <c r="E1" s="7">
        <v>45511</v>
      </c>
      <c r="F1" s="7">
        <v>45543</v>
      </c>
      <c r="G1" s="7">
        <v>45574</v>
      </c>
      <c r="H1" s="7">
        <v>45606</v>
      </c>
      <c r="I1" s="7">
        <v>45637</v>
      </c>
      <c r="J1" s="3">
        <v>41609</v>
      </c>
      <c r="K1" t="s">
        <v>227</v>
      </c>
      <c r="L1" t="s">
        <v>228</v>
      </c>
      <c r="M1" s="44" t="s">
        <v>253</v>
      </c>
      <c r="N1" t="s">
        <v>230</v>
      </c>
      <c r="O1" t="s">
        <v>231</v>
      </c>
    </row>
    <row r="2" spans="1:15" x14ac:dyDescent="0.35">
      <c r="A2" t="s">
        <v>243</v>
      </c>
      <c r="B2">
        <v>8.3000000000000007</v>
      </c>
      <c r="C2">
        <v>6.5</v>
      </c>
      <c r="D2">
        <v>4.9000000000000004</v>
      </c>
      <c r="E2">
        <v>4.5</v>
      </c>
      <c r="F2">
        <v>4</v>
      </c>
      <c r="G2">
        <v>3</v>
      </c>
      <c r="H2">
        <v>3.1</v>
      </c>
      <c r="I2">
        <v>3.9</v>
      </c>
      <c r="J2">
        <v>4.7</v>
      </c>
      <c r="K2">
        <v>5</v>
      </c>
      <c r="L2">
        <v>5.0999999999999996</v>
      </c>
      <c r="M2">
        <v>5.5</v>
      </c>
      <c r="N2">
        <v>5</v>
      </c>
      <c r="O2">
        <v>4.2</v>
      </c>
    </row>
    <row r="3" spans="1:15" x14ac:dyDescent="0.35">
      <c r="A3" t="s">
        <v>105</v>
      </c>
      <c r="B3">
        <v>5.7</v>
      </c>
      <c r="C3">
        <v>4.5</v>
      </c>
      <c r="D3">
        <v>3.5</v>
      </c>
      <c r="E3">
        <v>3</v>
      </c>
      <c r="F3">
        <v>2.5</v>
      </c>
      <c r="G3">
        <v>1.9</v>
      </c>
      <c r="H3">
        <v>2</v>
      </c>
      <c r="I3">
        <v>2.2999999999999998</v>
      </c>
      <c r="J3">
        <v>2.4</v>
      </c>
      <c r="K3">
        <v>2.2999999999999998</v>
      </c>
      <c r="L3">
        <v>2.4</v>
      </c>
      <c r="M3">
        <v>2.5</v>
      </c>
      <c r="N3">
        <v>2.5</v>
      </c>
      <c r="O3">
        <v>2.4</v>
      </c>
    </row>
    <row r="4" spans="1:15" x14ac:dyDescent="0.35">
      <c r="A4" s="7"/>
      <c r="C4" s="8"/>
      <c r="D4" s="8"/>
      <c r="E4" s="8"/>
    </row>
    <row r="5" spans="1:15" x14ac:dyDescent="0.35">
      <c r="A5" s="7"/>
      <c r="C5" s="8"/>
      <c r="D5" s="8"/>
      <c r="E5" s="8"/>
    </row>
    <row r="6" spans="1:15" x14ac:dyDescent="0.35">
      <c r="A6" s="7"/>
      <c r="C6" s="8"/>
      <c r="D6" s="8"/>
      <c r="E6" s="8"/>
    </row>
    <row r="7" spans="1:15" x14ac:dyDescent="0.35">
      <c r="A7" s="7"/>
      <c r="C7" s="8"/>
      <c r="D7" s="8"/>
      <c r="E7" s="8"/>
    </row>
    <row r="8" spans="1:15" x14ac:dyDescent="0.35">
      <c r="A8" s="7"/>
      <c r="C8" s="8"/>
      <c r="D8" s="8"/>
      <c r="E8" s="8"/>
    </row>
    <row r="9" spans="1:15" x14ac:dyDescent="0.35">
      <c r="A9" s="3"/>
      <c r="C9" s="8"/>
      <c r="D9" s="8"/>
      <c r="E9" s="8"/>
    </row>
    <row r="10" spans="1:15" x14ac:dyDescent="0.35">
      <c r="C10" s="8"/>
      <c r="D10" s="8"/>
      <c r="E10" s="8"/>
    </row>
    <row r="11" spans="1:15" x14ac:dyDescent="0.35">
      <c r="C11" s="8"/>
      <c r="D11" s="8"/>
      <c r="E11" s="8"/>
    </row>
    <row r="12" spans="1:15" x14ac:dyDescent="0.35">
      <c r="C12" s="8"/>
      <c r="D12" s="8"/>
      <c r="E12" s="8"/>
    </row>
    <row r="13" spans="1:15" x14ac:dyDescent="0.35">
      <c r="C13" s="8"/>
      <c r="D13" s="8"/>
      <c r="E13" s="8"/>
    </row>
    <row r="14" spans="1:15" x14ac:dyDescent="0.35">
      <c r="C14" s="8"/>
      <c r="D14" s="8"/>
      <c r="E14" s="8"/>
    </row>
    <row r="15" spans="1:15" x14ac:dyDescent="0.35">
      <c r="C15" s="8"/>
      <c r="D15" s="8"/>
      <c r="E15" s="8"/>
    </row>
    <row r="16" spans="1:15" x14ac:dyDescent="0.35">
      <c r="C16" s="8"/>
      <c r="D16" s="8"/>
      <c r="E16" s="8"/>
    </row>
    <row r="17" spans="1:5" x14ac:dyDescent="0.35">
      <c r="C17" s="8"/>
      <c r="D17" s="8"/>
      <c r="E17" s="8"/>
    </row>
    <row r="18" spans="1:5" x14ac:dyDescent="0.35">
      <c r="C18" s="8"/>
      <c r="D18" s="8"/>
      <c r="E18" s="8"/>
    </row>
    <row r="19" spans="1:5" x14ac:dyDescent="0.35">
      <c r="C19" s="8"/>
      <c r="D19" s="8"/>
      <c r="E19" s="8"/>
    </row>
    <row r="20" spans="1:5" x14ac:dyDescent="0.35">
      <c r="C20" s="8"/>
      <c r="D20" s="8"/>
      <c r="E20" s="8"/>
    </row>
    <row r="21" spans="1:5" x14ac:dyDescent="0.35">
      <c r="A21" s="3"/>
      <c r="B21" s="8"/>
      <c r="C21" s="8"/>
      <c r="D21" s="8"/>
      <c r="E21" s="8"/>
    </row>
    <row r="22" spans="1:5" x14ac:dyDescent="0.35">
      <c r="A22" s="3"/>
      <c r="B22" s="8"/>
      <c r="C22" s="8"/>
      <c r="D22" s="8"/>
      <c r="E22" s="8"/>
    </row>
    <row r="23" spans="1:5" x14ac:dyDescent="0.35">
      <c r="A23" s="3"/>
      <c r="B23" s="8"/>
      <c r="C23" s="8"/>
      <c r="D23" s="8"/>
      <c r="E23" s="8"/>
    </row>
    <row r="24" spans="1:5" x14ac:dyDescent="0.35">
      <c r="A24" s="3"/>
      <c r="B24" s="8"/>
      <c r="C24" s="8"/>
      <c r="D24" s="8"/>
      <c r="E24" s="8"/>
    </row>
  </sheetData>
  <hyperlinks>
    <hyperlink ref="M1" location="Index" display="Back to Index" xr:uid="{C5C62D2E-C87C-4347-9591-8BD38C2FF80F}"/>
  </hyperlink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E10BB-DDF9-4000-98E0-D8F024DB94BE}">
  <sheetPr codeName="Sheet98">
    <tabColor theme="9"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9EA086AF-191A-4E72-AA40-F56218B0608D}"/>
  </hyperlink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BC6D7-EBEC-4A31-91DF-9C798EB1D678}">
  <sheetPr codeName="Sheet99">
    <tabColor theme="0"/>
  </sheetPr>
  <dimension ref="A1:M13"/>
  <sheetViews>
    <sheetView workbookViewId="0">
      <selection activeCell="M1" sqref="M1"/>
    </sheetView>
  </sheetViews>
  <sheetFormatPr defaultRowHeight="15.5" x14ac:dyDescent="0.35"/>
  <sheetData>
    <row r="1" spans="1:13" x14ac:dyDescent="0.35">
      <c r="A1" t="s">
        <v>129</v>
      </c>
      <c r="B1" t="s">
        <v>244</v>
      </c>
      <c r="M1" s="44" t="s">
        <v>253</v>
      </c>
    </row>
    <row r="2" spans="1:13" x14ac:dyDescent="0.35">
      <c r="A2" t="s">
        <v>137</v>
      </c>
      <c r="B2">
        <v>6.5</v>
      </c>
    </row>
    <row r="3" spans="1:13" x14ac:dyDescent="0.35">
      <c r="A3" t="s">
        <v>138</v>
      </c>
      <c r="B3">
        <v>5.6</v>
      </c>
    </row>
    <row r="4" spans="1:13" x14ac:dyDescent="0.35">
      <c r="A4" t="s">
        <v>245</v>
      </c>
      <c r="B4">
        <v>4.9000000000000004</v>
      </c>
    </row>
    <row r="5" spans="1:13" x14ac:dyDescent="0.35">
      <c r="A5" t="s">
        <v>140</v>
      </c>
      <c r="B5">
        <v>4.3</v>
      </c>
    </row>
    <row r="6" spans="1:13" x14ac:dyDescent="0.35">
      <c r="A6" t="s">
        <v>141</v>
      </c>
      <c r="B6">
        <v>5</v>
      </c>
    </row>
    <row r="7" spans="1:13" x14ac:dyDescent="0.35">
      <c r="A7" t="s">
        <v>142</v>
      </c>
      <c r="B7">
        <v>4.0999999999999996</v>
      </c>
    </row>
    <row r="8" spans="1:13" x14ac:dyDescent="0.35">
      <c r="A8" t="s">
        <v>6</v>
      </c>
      <c r="B8">
        <v>4.2</v>
      </c>
    </row>
    <row r="9" spans="1:13" x14ac:dyDescent="0.35">
      <c r="A9" t="s">
        <v>143</v>
      </c>
      <c r="B9">
        <v>4.0999999999999996</v>
      </c>
    </row>
    <row r="10" spans="1:13" x14ac:dyDescent="0.35">
      <c r="A10" t="s">
        <v>144</v>
      </c>
      <c r="B10">
        <v>3.7</v>
      </c>
    </row>
    <row r="11" spans="1:13" x14ac:dyDescent="0.35">
      <c r="A11" t="s">
        <v>145</v>
      </c>
      <c r="B11">
        <v>5.6</v>
      </c>
    </row>
    <row r="12" spans="1:13" x14ac:dyDescent="0.35">
      <c r="A12" t="s">
        <v>146</v>
      </c>
      <c r="B12">
        <v>6.2</v>
      </c>
    </row>
    <row r="13" spans="1:13" x14ac:dyDescent="0.35">
      <c r="A13" t="s">
        <v>147</v>
      </c>
      <c r="B13">
        <v>1.3</v>
      </c>
    </row>
  </sheetData>
  <hyperlinks>
    <hyperlink ref="M1" location="Index" display="Back to Index" xr:uid="{D3B16866-1110-40F6-9883-D8906168CA1D}"/>
  </hyperlinks>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1F3A9-B485-4388-8DBB-F2F3A8538BE1}">
  <sheetPr codeName="Sheet100">
    <tabColor theme="9" tint="0.39997558519241921"/>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1A25D332-B4D3-4DDC-92C1-32228BE0EF91}"/>
  </hyperlinks>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FDFC2-067F-4B58-970D-B633EF0B0B3B}">
  <sheetPr codeName="Sheet101">
    <tabColor theme="9"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CF57BD5F-37BE-43ED-8706-ABC09FEC7A83}"/>
  </hyperlinks>
  <pageMargins left="0.7" right="0.7" top="0.75" bottom="0.75" header="0.3" footer="0.3"/>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6E65C-2E7E-48DA-A681-92FA38EEB533}">
  <sheetPr codeName="Sheet102">
    <tabColor theme="0"/>
  </sheetPr>
  <dimension ref="A1:M13"/>
  <sheetViews>
    <sheetView workbookViewId="0">
      <selection activeCell="M1" sqref="M1"/>
    </sheetView>
  </sheetViews>
  <sheetFormatPr defaultRowHeight="15.5" x14ac:dyDescent="0.35"/>
  <sheetData>
    <row r="1" spans="1:13" x14ac:dyDescent="0.35">
      <c r="A1" t="s">
        <v>129</v>
      </c>
      <c r="B1" t="s">
        <v>247</v>
      </c>
      <c r="C1" t="s">
        <v>248</v>
      </c>
      <c r="D1" t="s">
        <v>249</v>
      </c>
      <c r="M1" s="44" t="s">
        <v>253</v>
      </c>
    </row>
    <row r="2" spans="1:13" x14ac:dyDescent="0.35">
      <c r="A2" t="s">
        <v>137</v>
      </c>
      <c r="B2">
        <v>43</v>
      </c>
      <c r="C2">
        <v>15</v>
      </c>
      <c r="D2">
        <v>42</v>
      </c>
    </row>
    <row r="3" spans="1:13" x14ac:dyDescent="0.35">
      <c r="A3" t="s">
        <v>138</v>
      </c>
      <c r="B3">
        <v>46</v>
      </c>
      <c r="C3">
        <v>14</v>
      </c>
      <c r="D3">
        <v>40</v>
      </c>
    </row>
    <row r="4" spans="1:13" x14ac:dyDescent="0.35">
      <c r="A4" t="s">
        <v>245</v>
      </c>
      <c r="B4">
        <v>40</v>
      </c>
      <c r="C4">
        <v>15</v>
      </c>
      <c r="D4">
        <v>45</v>
      </c>
    </row>
    <row r="5" spans="1:13" x14ac:dyDescent="0.35">
      <c r="A5" t="s">
        <v>140</v>
      </c>
      <c r="B5">
        <v>34</v>
      </c>
      <c r="C5">
        <v>15</v>
      </c>
      <c r="D5">
        <v>51</v>
      </c>
    </row>
    <row r="6" spans="1:13" x14ac:dyDescent="0.35">
      <c r="A6" t="s">
        <v>141</v>
      </c>
      <c r="B6">
        <v>43</v>
      </c>
      <c r="C6">
        <v>15</v>
      </c>
      <c r="D6">
        <v>42</v>
      </c>
    </row>
    <row r="7" spans="1:13" x14ac:dyDescent="0.35">
      <c r="A7" t="s">
        <v>142</v>
      </c>
      <c r="B7">
        <v>27</v>
      </c>
      <c r="C7">
        <v>14</v>
      </c>
      <c r="D7">
        <v>59</v>
      </c>
    </row>
    <row r="8" spans="1:13" x14ac:dyDescent="0.35">
      <c r="A8" t="s">
        <v>6</v>
      </c>
      <c r="B8">
        <v>41</v>
      </c>
      <c r="C8">
        <v>11</v>
      </c>
      <c r="D8">
        <v>48</v>
      </c>
    </row>
    <row r="9" spans="1:13" x14ac:dyDescent="0.35">
      <c r="A9" t="s">
        <v>143</v>
      </c>
      <c r="B9">
        <v>36</v>
      </c>
      <c r="C9">
        <v>11</v>
      </c>
      <c r="D9">
        <v>54</v>
      </c>
    </row>
    <row r="10" spans="1:13" x14ac:dyDescent="0.35">
      <c r="A10" t="s">
        <v>144</v>
      </c>
      <c r="B10">
        <v>33</v>
      </c>
      <c r="C10">
        <v>12</v>
      </c>
      <c r="D10">
        <v>56</v>
      </c>
    </row>
    <row r="11" spans="1:13" x14ac:dyDescent="0.35">
      <c r="A11" t="s">
        <v>145</v>
      </c>
      <c r="B11">
        <v>42</v>
      </c>
      <c r="C11">
        <v>14</v>
      </c>
      <c r="D11">
        <v>44</v>
      </c>
    </row>
    <row r="12" spans="1:13" x14ac:dyDescent="0.35">
      <c r="A12" t="s">
        <v>146</v>
      </c>
      <c r="B12">
        <v>35</v>
      </c>
      <c r="C12">
        <v>16</v>
      </c>
      <c r="D12">
        <v>49</v>
      </c>
    </row>
    <row r="13" spans="1:13" x14ac:dyDescent="0.35">
      <c r="A13" t="s">
        <v>147</v>
      </c>
      <c r="B13">
        <v>46</v>
      </c>
      <c r="C13">
        <v>10</v>
      </c>
      <c r="D13">
        <v>43</v>
      </c>
    </row>
  </sheetData>
  <hyperlinks>
    <hyperlink ref="M1" location="Index" display="Back to Index" xr:uid="{E5D76B0D-3781-4F72-8BF3-8DB5DA90A7A6}"/>
  </hyperlinks>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B5A9B5-3940-403F-A6A7-E8B95A657627}">
  <sheetPr codeName="Sheet103">
    <tabColor theme="9"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4257A131-0466-4C99-B35F-76A748B808F4}"/>
  </hyperlinks>
  <pageMargins left="0.7" right="0.7" top="0.75" bottom="0.75" header="0.3" footer="0.3"/>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DC88F-4843-43D8-985F-69AF4AE52687}">
  <sheetPr codeName="Sheet104">
    <tabColor theme="0"/>
  </sheetPr>
  <dimension ref="A1:M1"/>
  <sheetViews>
    <sheetView workbookViewId="0">
      <selection activeCell="M1" sqref="M1"/>
    </sheetView>
  </sheetViews>
  <sheetFormatPr defaultRowHeight="15.5" x14ac:dyDescent="0.35"/>
  <sheetData>
    <row r="1" spans="1:13" x14ac:dyDescent="0.35">
      <c r="A1" s="45" t="s">
        <v>246</v>
      </c>
      <c r="B1" s="45"/>
      <c r="C1" s="45"/>
      <c r="D1" s="45"/>
      <c r="E1" s="45"/>
      <c r="F1" s="45"/>
      <c r="G1" s="45"/>
      <c r="M1" s="44" t="s">
        <v>253</v>
      </c>
    </row>
  </sheetData>
  <mergeCells count="1">
    <mergeCell ref="A1:G1"/>
  </mergeCells>
  <hyperlinks>
    <hyperlink ref="M1" location="Index" display="Back to Index" xr:uid="{7B1BAE04-A642-4246-940B-769954342F4A}"/>
  </hyperlinks>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14A38-4AEC-4DE5-A2E0-4319FE80F318}">
  <sheetPr codeName="Sheet105">
    <tabColor theme="9" tint="0.79998168889431442"/>
  </sheetPr>
  <dimension ref="M1"/>
  <sheetViews>
    <sheetView workbookViewId="0">
      <selection activeCell="M1" sqref="M1"/>
    </sheetView>
  </sheetViews>
  <sheetFormatPr defaultRowHeight="15.5" x14ac:dyDescent="0.35"/>
  <sheetData>
    <row r="1" spans="13:13" x14ac:dyDescent="0.35">
      <c r="M1" s="44" t="s">
        <v>253</v>
      </c>
    </row>
  </sheetData>
  <hyperlinks>
    <hyperlink ref="M1" location="Index" display="Back to Index" xr:uid="{EFA17EE3-4F3F-442B-8F56-6DAA39A35475}"/>
  </hyperlinks>
  <pageMargins left="0.7" right="0.7" top="0.75" bottom="0.75" header="0.3" footer="0.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9A45D-31F2-4F21-BF2B-56D86AC8A43C}">
  <sheetPr codeName="Sheet106">
    <tabColor theme="0"/>
  </sheetPr>
  <dimension ref="A1:M25"/>
  <sheetViews>
    <sheetView workbookViewId="0">
      <selection activeCell="M1" sqref="M1"/>
    </sheetView>
  </sheetViews>
  <sheetFormatPr defaultRowHeight="15.5" x14ac:dyDescent="0.35"/>
  <sheetData>
    <row r="1" spans="1:13" x14ac:dyDescent="0.35">
      <c r="A1" t="s">
        <v>0</v>
      </c>
      <c r="B1" t="s">
        <v>6</v>
      </c>
      <c r="C1" t="s">
        <v>105</v>
      </c>
      <c r="M1" s="44" t="s">
        <v>253</v>
      </c>
    </row>
    <row r="2" spans="1:13" x14ac:dyDescent="0.35">
      <c r="A2">
        <v>2000</v>
      </c>
      <c r="B2">
        <v>3.9</v>
      </c>
      <c r="C2">
        <v>6.3</v>
      </c>
    </row>
    <row r="3" spans="1:13" x14ac:dyDescent="0.35">
      <c r="A3">
        <v>2001</v>
      </c>
      <c r="B3">
        <v>3.8</v>
      </c>
      <c r="C3">
        <v>6.6</v>
      </c>
    </row>
    <row r="4" spans="1:13" x14ac:dyDescent="0.35">
      <c r="A4">
        <v>2002</v>
      </c>
      <c r="B4">
        <v>4.2</v>
      </c>
      <c r="C4">
        <v>6.8</v>
      </c>
    </row>
    <row r="5" spans="1:13" x14ac:dyDescent="0.35">
      <c r="A5">
        <v>2003</v>
      </c>
      <c r="B5">
        <v>5.7</v>
      </c>
      <c r="C5">
        <v>8.1</v>
      </c>
    </row>
    <row r="6" spans="1:13" x14ac:dyDescent="0.35">
      <c r="A6">
        <v>2004</v>
      </c>
      <c r="B6">
        <v>8.6</v>
      </c>
      <c r="C6">
        <v>10.6</v>
      </c>
    </row>
    <row r="7" spans="1:13" x14ac:dyDescent="0.35">
      <c r="A7">
        <v>2005</v>
      </c>
      <c r="B7">
        <v>12.6</v>
      </c>
      <c r="C7">
        <v>15.6</v>
      </c>
    </row>
    <row r="8" spans="1:13" x14ac:dyDescent="0.35">
      <c r="A8">
        <v>2006</v>
      </c>
      <c r="B8">
        <v>19.5</v>
      </c>
      <c r="C8">
        <v>24.7</v>
      </c>
    </row>
    <row r="9" spans="1:13" x14ac:dyDescent="0.35">
      <c r="A9">
        <v>2007</v>
      </c>
      <c r="B9">
        <v>19</v>
      </c>
      <c r="C9">
        <v>24.5</v>
      </c>
    </row>
    <row r="10" spans="1:13" x14ac:dyDescent="0.35">
      <c r="A10">
        <v>2008</v>
      </c>
      <c r="B10">
        <v>16.899999999999999</v>
      </c>
      <c r="C10">
        <v>24.3</v>
      </c>
    </row>
    <row r="11" spans="1:13" x14ac:dyDescent="0.35">
      <c r="A11">
        <v>2009</v>
      </c>
      <c r="B11">
        <v>19.3</v>
      </c>
      <c r="C11">
        <v>30.3</v>
      </c>
    </row>
    <row r="12" spans="1:13" x14ac:dyDescent="0.35">
      <c r="A12">
        <v>2010</v>
      </c>
      <c r="B12">
        <v>18.600000000000001</v>
      </c>
      <c r="C12">
        <v>29.9</v>
      </c>
    </row>
    <row r="13" spans="1:13" x14ac:dyDescent="0.35">
      <c r="A13">
        <v>2011</v>
      </c>
      <c r="B13">
        <v>16.899999999999999</v>
      </c>
      <c r="C13">
        <v>26.6</v>
      </c>
    </row>
    <row r="14" spans="1:13" x14ac:dyDescent="0.35">
      <c r="A14">
        <v>2012</v>
      </c>
      <c r="B14">
        <v>14.8</v>
      </c>
      <c r="C14">
        <v>24.3</v>
      </c>
    </row>
    <row r="15" spans="1:13" x14ac:dyDescent="0.35">
      <c r="A15">
        <v>2013</v>
      </c>
      <c r="B15">
        <v>13.8</v>
      </c>
      <c r="C15">
        <v>22.2</v>
      </c>
    </row>
    <row r="16" spans="1:13" x14ac:dyDescent="0.35">
      <c r="A16">
        <v>2014</v>
      </c>
      <c r="B16">
        <v>13.7</v>
      </c>
      <c r="C16">
        <v>21.4</v>
      </c>
    </row>
    <row r="17" spans="1:3" x14ac:dyDescent="0.35">
      <c r="A17">
        <v>2015</v>
      </c>
      <c r="B17">
        <v>11.6</v>
      </c>
      <c r="C17">
        <v>17.3</v>
      </c>
    </row>
    <row r="18" spans="1:3" x14ac:dyDescent="0.35">
      <c r="A18">
        <v>2016</v>
      </c>
      <c r="B18">
        <v>12.8</v>
      </c>
      <c r="C18">
        <v>19.3</v>
      </c>
    </row>
    <row r="19" spans="1:3" x14ac:dyDescent="0.35">
      <c r="A19">
        <v>2017</v>
      </c>
      <c r="B19">
        <v>14</v>
      </c>
      <c r="C19">
        <v>21.2</v>
      </c>
    </row>
    <row r="20" spans="1:3" x14ac:dyDescent="0.35">
      <c r="A20">
        <v>2018</v>
      </c>
      <c r="B20">
        <v>15.5</v>
      </c>
      <c r="C20">
        <v>24.5</v>
      </c>
    </row>
    <row r="21" spans="1:3" x14ac:dyDescent="0.35">
      <c r="A21">
        <v>2019</v>
      </c>
      <c r="B21">
        <v>15.5</v>
      </c>
      <c r="C21">
        <v>25.8</v>
      </c>
    </row>
    <row r="22" spans="1:3" x14ac:dyDescent="0.35">
      <c r="A22">
        <v>2020</v>
      </c>
      <c r="B22">
        <v>15.9</v>
      </c>
      <c r="C22">
        <v>23.6</v>
      </c>
    </row>
    <row r="23" spans="1:3" x14ac:dyDescent="0.35">
      <c r="A23">
        <v>2021</v>
      </c>
      <c r="B23">
        <v>16.399999999999999</v>
      </c>
      <c r="C23">
        <v>23.1</v>
      </c>
    </row>
    <row r="24" spans="1:3" x14ac:dyDescent="0.35">
      <c r="A24">
        <v>2022</v>
      </c>
      <c r="B24">
        <v>16.3</v>
      </c>
      <c r="C24">
        <v>24.7</v>
      </c>
    </row>
    <row r="25" spans="1:3" x14ac:dyDescent="0.35">
      <c r="A25">
        <v>2023</v>
      </c>
      <c r="B25">
        <v>13.9</v>
      </c>
      <c r="C25">
        <v>21.6</v>
      </c>
    </row>
  </sheetData>
  <hyperlinks>
    <hyperlink ref="M1" location="Index" display="Back to Index" xr:uid="{B2CEF4ED-1F20-4F74-B078-D7635F72976F}"/>
  </hyperlinks>
  <pageMargins left="0.7" right="0.7" top="0.75" bottom="0.75" header="0.3" footer="0.3"/>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E3D9A9-9649-4C8F-A582-32007C7C0468}">
  <sheetPr codeName="Sheet107">
    <tabColor theme="0"/>
  </sheetPr>
  <dimension ref="A1:M10"/>
  <sheetViews>
    <sheetView workbookViewId="0">
      <selection activeCell="M1" sqref="M1"/>
    </sheetView>
  </sheetViews>
  <sheetFormatPr defaultRowHeight="15.5" x14ac:dyDescent="0.35"/>
  <sheetData>
    <row r="1" spans="1:13" x14ac:dyDescent="0.35">
      <c r="A1" t="s">
        <v>129</v>
      </c>
      <c r="B1" t="s">
        <v>250</v>
      </c>
      <c r="M1" s="44" t="s">
        <v>253</v>
      </c>
    </row>
    <row r="2" spans="1:13" x14ac:dyDescent="0.35">
      <c r="A2" t="s">
        <v>137</v>
      </c>
      <c r="B2">
        <v>28.7</v>
      </c>
    </row>
    <row r="3" spans="1:13" x14ac:dyDescent="0.35">
      <c r="A3" t="s">
        <v>138</v>
      </c>
      <c r="B3">
        <v>25</v>
      </c>
    </row>
    <row r="4" spans="1:13" x14ac:dyDescent="0.35">
      <c r="A4" t="s">
        <v>251</v>
      </c>
      <c r="B4">
        <v>25</v>
      </c>
    </row>
    <row r="5" spans="1:13" x14ac:dyDescent="0.35">
      <c r="A5" t="s">
        <v>140</v>
      </c>
      <c r="B5">
        <v>23.7</v>
      </c>
    </row>
    <row r="6" spans="1:13" x14ac:dyDescent="0.35">
      <c r="A6" t="s">
        <v>141</v>
      </c>
      <c r="B6">
        <v>22.4</v>
      </c>
    </row>
    <row r="7" spans="1:13" x14ac:dyDescent="0.35">
      <c r="A7" t="s">
        <v>252</v>
      </c>
      <c r="B7">
        <v>20.8</v>
      </c>
    </row>
    <row r="8" spans="1:13" x14ac:dyDescent="0.35">
      <c r="A8" t="s">
        <v>6</v>
      </c>
      <c r="B8">
        <v>13.9</v>
      </c>
    </row>
    <row r="9" spans="1:13" x14ac:dyDescent="0.35">
      <c r="A9" t="s">
        <v>143</v>
      </c>
      <c r="B9">
        <v>19.600000000000001</v>
      </c>
    </row>
    <row r="10" spans="1:13" x14ac:dyDescent="0.35">
      <c r="A10" t="s">
        <v>144</v>
      </c>
      <c r="B10">
        <v>23.3</v>
      </c>
    </row>
  </sheetData>
  <hyperlinks>
    <hyperlink ref="M1" location="Index" display="Back to Index" xr:uid="{7DFA2280-F7C9-4845-BAA3-7BC6DF771C3C}"/>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107</vt:i4>
      </vt:variant>
      <vt:variant>
        <vt:lpstr>Named Ranges</vt:lpstr>
      </vt:variant>
      <vt:variant>
        <vt:i4>1</vt:i4>
      </vt:variant>
    </vt:vector>
  </HeadingPairs>
  <TitlesOfParts>
    <vt:vector size="108" baseType="lpstr">
      <vt:lpstr>Index</vt:lpstr>
      <vt:lpstr>Labour Market</vt:lpstr>
      <vt:lpstr>Narrowing Pay Gaps</vt:lpstr>
      <vt:lpstr>Gender Pay Gap</vt:lpstr>
      <vt:lpstr>Total (1_1_1_a)</vt:lpstr>
      <vt:lpstr>Part Time-Full Time (1_1_1_b)</vt:lpstr>
      <vt:lpstr>Ethnicity Pay Gap</vt:lpstr>
      <vt:lpstr>Total (1_1_2_a)</vt:lpstr>
      <vt:lpstr>Ethnic Group (1_1_2_b)</vt:lpstr>
      <vt:lpstr>Disability Pay Gap</vt:lpstr>
      <vt:lpstr>Total (1_1_3_a)</vt:lpstr>
      <vt:lpstr>Pay Ratio</vt:lpstr>
      <vt:lpstr>Total (1_1_4_a)</vt:lpstr>
      <vt:lpstr>GLA group (1_1_4_b)</vt:lpstr>
      <vt:lpstr>Fair Employment</vt:lpstr>
      <vt:lpstr>Below LLW</vt:lpstr>
      <vt:lpstr>Total (1_2_1_a)</vt:lpstr>
      <vt:lpstr>Reference (1_2_1_b)</vt:lpstr>
      <vt:lpstr>Employment Gaps</vt:lpstr>
      <vt:lpstr>Gender (1_2_2_a)</vt:lpstr>
      <vt:lpstr>Disability Status (1_2_2_b)</vt:lpstr>
      <vt:lpstr>Minority Ethnic (1_2_2_c)</vt:lpstr>
      <vt:lpstr>Ethnic Group (1_2_2_d)</vt:lpstr>
      <vt:lpstr>Work-Life Balance</vt:lpstr>
      <vt:lpstr>Flexible Working (1_2_3_a)</vt:lpstr>
      <vt:lpstr>Overemployment (1_2_3_b)</vt:lpstr>
      <vt:lpstr>Insecure Employment</vt:lpstr>
      <vt:lpstr>Total (1_2_4_a)</vt:lpstr>
      <vt:lpstr>Zero Hours (1_2_4_b)</vt:lpstr>
      <vt:lpstr>Zero Hours By Age (1_2_4_c)</vt:lpstr>
      <vt:lpstr>Equal Opportunities</vt:lpstr>
      <vt:lpstr>Accessing Employment</vt:lpstr>
      <vt:lpstr>Unemployment Rate</vt:lpstr>
      <vt:lpstr>Total (2_1_1_a)</vt:lpstr>
      <vt:lpstr>Gender-Ethnic Group (2_1_1_b)</vt:lpstr>
      <vt:lpstr>Underemployment</vt:lpstr>
      <vt:lpstr>Total (2_1_2_a)</vt:lpstr>
      <vt:lpstr>Underutility</vt:lpstr>
      <vt:lpstr>Total (2_1_3_a)</vt:lpstr>
      <vt:lpstr>Parental Employment</vt:lpstr>
      <vt:lpstr>Total (2_1_4_a)</vt:lpstr>
      <vt:lpstr>Ethnic Group (2_1_4_b)</vt:lpstr>
      <vt:lpstr>Household Composition (2_1_4_c)</vt:lpstr>
      <vt:lpstr>Equal Life Chances</vt:lpstr>
      <vt:lpstr>School Readiness</vt:lpstr>
      <vt:lpstr>Total (2_2_1_a)</vt:lpstr>
      <vt:lpstr>KS4 Achievment</vt:lpstr>
      <vt:lpstr>Total (2_2_2_a)</vt:lpstr>
      <vt:lpstr>Ethnic Group (2_2_2_b)</vt:lpstr>
      <vt:lpstr>Gender (2_2_2_c)</vt:lpstr>
      <vt:lpstr>First Language (2_2_2_d)</vt:lpstr>
      <vt:lpstr>FSM Status (2_2_2_e)</vt:lpstr>
      <vt:lpstr>SEN Status (2_2_2_f)</vt:lpstr>
      <vt:lpstr>Disadvantaged Status (2_2_2_g)</vt:lpstr>
      <vt:lpstr>NoLow Qualifications</vt:lpstr>
      <vt:lpstr>Total (2_2_3_a)</vt:lpstr>
      <vt:lpstr>Region (2_2_3_b)</vt:lpstr>
      <vt:lpstr>NEET</vt:lpstr>
      <vt:lpstr>Total (2_2_4_a)</vt:lpstr>
      <vt:lpstr>In Work Training</vt:lpstr>
      <vt:lpstr>Total (2_2_5_a)</vt:lpstr>
      <vt:lpstr>Apprenticeships</vt:lpstr>
      <vt:lpstr>London (2_2_6_a)</vt:lpstr>
      <vt:lpstr>UK (2_2_6_b)</vt:lpstr>
      <vt:lpstr>London-UK (2_2_6_c)</vt:lpstr>
      <vt:lpstr>Income Inequality</vt:lpstr>
      <vt:lpstr>Difference (2_2_7_a)</vt:lpstr>
      <vt:lpstr>90-10 Ratio (2_2_7_b)</vt:lpstr>
      <vt:lpstr>Wealth Inequality</vt:lpstr>
      <vt:lpstr>Decile (2_2_8_a)</vt:lpstr>
      <vt:lpstr>Raising Living Standards</vt:lpstr>
      <vt:lpstr>Cost of Living</vt:lpstr>
      <vt:lpstr>Disposable Income</vt:lpstr>
      <vt:lpstr>Total (3_1_1_a)</vt:lpstr>
      <vt:lpstr>Childcare Costs</vt:lpstr>
      <vt:lpstr>Total (3_1_2_a)</vt:lpstr>
      <vt:lpstr>Energy Efficiency</vt:lpstr>
      <vt:lpstr>Total (3_1_3_a)</vt:lpstr>
      <vt:lpstr>Fuel Poverty</vt:lpstr>
      <vt:lpstr>Total (3_1_4_a)</vt:lpstr>
      <vt:lpstr>Reducing Poverty</vt:lpstr>
      <vt:lpstr>Population In Poverty</vt:lpstr>
      <vt:lpstr>Total (3_2_1_a)</vt:lpstr>
      <vt:lpstr>Age (3_2_1_b)</vt:lpstr>
      <vt:lpstr>Persistent Poverty</vt:lpstr>
      <vt:lpstr>Total (3_2_2_a)</vt:lpstr>
      <vt:lpstr>Absolute Poverty</vt:lpstr>
      <vt:lpstr>Total (3_2_3_a)</vt:lpstr>
      <vt:lpstr>Age (3_2_3_b)</vt:lpstr>
      <vt:lpstr>Material Deprivation</vt:lpstr>
      <vt:lpstr>Pensioners (3_2_4_a)</vt:lpstr>
      <vt:lpstr>WA (3_2_4_b)</vt:lpstr>
      <vt:lpstr>Children (3_2_4_c)</vt:lpstr>
      <vt:lpstr>Homelessness</vt:lpstr>
      <vt:lpstr>Rough Sleeping (3_2_5_a)</vt:lpstr>
      <vt:lpstr>Temp Housing (3_2_5_b)</vt:lpstr>
      <vt:lpstr>Temp Housing Old (3_2_5_c)</vt:lpstr>
      <vt:lpstr>Problem Debt</vt:lpstr>
      <vt:lpstr>Total (3_2_6_a)</vt:lpstr>
      <vt:lpstr>Financial Inclusion</vt:lpstr>
      <vt:lpstr>Savings</vt:lpstr>
      <vt:lpstr>Total (3_3_1_a)</vt:lpstr>
      <vt:lpstr>Access To Bank Accounts</vt:lpstr>
      <vt:lpstr>Total (3_3_2_a)</vt:lpstr>
      <vt:lpstr>Insolvencies</vt:lpstr>
      <vt:lpstr>Total (3_3_3_a)</vt:lpstr>
      <vt:lpstr>Region (3_3_3_b)</vt:lpstr>
      <vt:lpstr>Index</vt:lpstr>
    </vt:vector>
  </TitlesOfParts>
  <Company>Transport for London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Tibbles</dc:creator>
  <cp:lastModifiedBy>Matthew Tibbles</cp:lastModifiedBy>
  <dcterms:created xsi:type="dcterms:W3CDTF">2024-09-03T15:06:55Z</dcterms:created>
  <dcterms:modified xsi:type="dcterms:W3CDTF">2024-12-11T15:57:25Z</dcterms:modified>
</cp:coreProperties>
</file>